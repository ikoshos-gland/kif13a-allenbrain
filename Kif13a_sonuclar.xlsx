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Veri Seti" sheetId="2" state="visible" r:id="rId2"/>
    <sheet xmlns:r="http://schemas.openxmlformats.org/officeDocument/2006/relationships" name="Yaslanma Donor Testi" sheetId="3" state="visible" r:id="rId3"/>
    <sheet xmlns:r="http://schemas.openxmlformats.org/officeDocument/2006/relationships" name="Yaslanma Alt Sinif" sheetId="4" state="visible" r:id="rId4"/>
    <sheet xmlns:r="http://schemas.openxmlformats.org/officeDocument/2006/relationships" name="Yaslanma Bolge" sheetId="5" state="visible" r:id="rId5"/>
    <sheet xmlns:r="http://schemas.openxmlformats.org/officeDocument/2006/relationships" name="Yaslanma Donor Listesi" sheetId="6" state="visible" r:id="rId6"/>
    <sheet xmlns:r="http://schemas.openxmlformats.org/officeDocument/2006/relationships" name="Tum Beyin Siralamasi" sheetId="7" state="visible" r:id="rId7"/>
    <sheet xmlns:r="http://schemas.openxmlformats.org/officeDocument/2006/relationships" name="Bolgesel Heterojenlik" sheetId="8" state="visible" r:id="rId8"/>
    <sheet xmlns:r="http://schemas.openxmlformats.org/officeDocument/2006/relationships" name="Kohort Tekrari" sheetId="9" state="visible" r:id="rId9"/>
    <sheet xmlns:r="http://schemas.openxmlformats.org/officeDocument/2006/relationships" name="Tespit vs Seviye" sheetId="10" state="visible" r:id="rId10"/>
  </sheets>
  <definedNames>
    <definedName name="_xlnm._FilterDatabase" localSheetId="5" hidden="1">'Yaslanma Donor Listesi'!$A$4:$I$198</definedName>
    <definedName name="_xlnm._FilterDatabase" localSheetId="6" hidden="1">'Tum Beyin Siralamasi'!$A$4:$H$269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0.000"/>
    <numFmt numFmtId="165" formatCode="+0.000;-0.000"/>
    <numFmt numFmtId="166" formatCode="0.0000"/>
    <numFmt numFmtId="167" formatCode="0.0%"/>
    <numFmt numFmtId="168" formatCode="+0.0%;-0.0%"/>
    <numFmt numFmtId="169" formatCode="0.00000"/>
    <numFmt numFmtId="170" formatCode="+0.000"/>
    <numFmt numFmtId="171" formatCode="0.0&quot;x&quot;"/>
    <numFmt numFmtId="172" formatCode="0.00&quot;x&quot;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6" fontId="4" fillId="3" borderId="1" pivotButton="0" quotePrefix="0" xfId="0"/>
    <xf numFmtId="166" fontId="4" fillId="0" borderId="1" pivotButton="0" quotePrefix="0" xfId="0"/>
    <xf numFmtId="0" fontId="7" fillId="4" borderId="0" applyAlignment="1" pivotButton="0" quotePrefix="0" xfId="0">
      <alignment vertical="top" wrapText="1"/>
    </xf>
    <xf numFmtId="3" fontId="4" fillId="0" borderId="1" pivotButton="0" quotePrefix="0" xfId="0"/>
    <xf numFmtId="167" fontId="4" fillId="0" borderId="1" pivotButton="0" quotePrefix="0" xfId="0"/>
    <xf numFmtId="168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  <xf numFmtId="167" fontId="4" fillId="3" borderId="1" pivotButton="0" quotePrefix="0" xfId="0"/>
    <xf numFmtId="0" fontId="6" fillId="2" borderId="1" applyAlignment="1" pivotButton="0" quotePrefix="0" xfId="0">
      <alignment horizontal="center" wrapText="1"/>
    </xf>
    <xf numFmtId="2" fontId="4" fillId="0" borderId="1" pivotButton="0" quotePrefix="0" xfId="0"/>
    <xf numFmtId="169" fontId="4" fillId="0" borderId="1" pivotButton="0" quotePrefix="0" xfId="0"/>
    <xf numFmtId="0" fontId="8" fillId="0" borderId="0" pivotButton="0" quotePrefix="0" xfId="0"/>
    <xf numFmtId="170" fontId="0" fillId="3" borderId="0" pivotButton="0" quotePrefix="0" xfId="0"/>
    <xf numFmtId="0" fontId="4" fillId="0" borderId="0" pivotButton="0" quotePrefix="0" xfId="0"/>
    <xf numFmtId="171" fontId="4" fillId="5" borderId="1" pivotButton="0" quotePrefix="0" xfId="0"/>
    <xf numFmtId="172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13" customWidth="1" min="4" max="4"/>
    <col width="13" customWidth="1" min="5" max="5"/>
    <col width="16" customWidth="1" min="6" max="6"/>
    <col width="13" customWidth="1" min="7" max="7"/>
  </cols>
  <sheetData>
    <row r="1">
      <c r="A1" s="1" t="inlineStr">
        <is>
          <t>KIF13A bulgulari: ozet</t>
        </is>
      </c>
    </row>
    <row r="2">
      <c r="A2" s="2" t="inlineStr">
        <is>
          <t>Allen Brain Cell Atlas, surum 20260711. Hesaplamalar TRUBA uzerinde SLURM ile yapildi.</t>
        </is>
      </c>
    </row>
    <row r="4">
      <c r="A4" s="3" t="inlineStr">
        <is>
          <t>Bulgu 1</t>
        </is>
      </c>
      <c r="B4" s="4" t="inlineStr">
        <is>
          <t>Olgun oligodendrosit siralamada birinci, ama aradaki farkin buyuk kismi tespit orani etkisi.</t>
        </is>
      </c>
    </row>
    <row r="5">
      <c r="A5" s="3" t="inlineStr"/>
      <c r="B5" s="4" t="inlineStr">
        <is>
          <t>265 alt sinif icinde oligodendrosit her olcutte birinci, onculu ikinci.</t>
        </is>
      </c>
    </row>
    <row r="6">
      <c r="A6" s="3" t="inlineStr"/>
      <c r="B6" s="4" t="inlineStr">
        <is>
          <t>Havuzlanmis ortalamalardan kat farki OKUNAMAZ. Astrositle arasindaki fark 16 kat degil, kabaca 1,8 kat tespit orani ve 2,0 kat seviye.</t>
        </is>
      </c>
    </row>
    <row r="7">
      <c r="A7" s="3" t="inlineStr"/>
      <c r="B7" s="4" t="inlineStr">
        <is>
          <t>Ayrinti: Tum Beyin Siralamasi ve Tespit vs Seviye sayfalari.</t>
        </is>
      </c>
    </row>
    <row r="8">
      <c r="A8" s="3" t="inlineStr"/>
      <c r="B8" s="4" t="inlineStr"/>
    </row>
    <row r="9">
      <c r="A9" s="3" t="inlineStr">
        <is>
          <t>Bulgu 2</t>
        </is>
      </c>
      <c r="B9" s="4" t="inlineStr">
        <is>
          <t>Oncul hucreler bolgesel olarak degisken, olgun hucreler duz.</t>
        </is>
      </c>
    </row>
    <row r="10">
      <c r="A10" s="3" t="inlineStr"/>
      <c r="B10" s="4" t="inlineStr">
        <is>
          <t>OPC yayilimi oligodendrositin yaklasik uc kati. Korteks ve hipokampusta yuksek, serebellum ve medullada dusuk.</t>
        </is>
      </c>
    </row>
    <row r="11">
      <c r="A11" s="3" t="inlineStr"/>
      <c r="B11" s="4" t="inlineStr">
        <is>
          <t>Varyans farki anlamli (Levene p &lt; 0.0001) ve bagimsiz kohortta tekrarlaniyor (Spearman rho = +0.96).</t>
        </is>
      </c>
    </row>
    <row r="12">
      <c r="A12" s="3" t="inlineStr"/>
      <c r="B12" s="4" t="inlineStr">
        <is>
          <t>Ayrinti: Bolgesel Heterojenlik ve Kohort Tekrari sayfalari.</t>
        </is>
      </c>
    </row>
    <row r="13">
      <c r="A13" s="3" t="inlineStr"/>
      <c r="B13" s="4" t="inlineStr"/>
    </row>
    <row r="14">
      <c r="A14" s="3" t="inlineStr">
        <is>
          <t>Bulgu 3</t>
        </is>
      </c>
      <c r="B14" s="4" t="inlineStr">
        <is>
          <t>Yaslanmayla artis sadece olgun oligodendrositte.</t>
        </is>
      </c>
    </row>
    <row r="15">
      <c r="A15" s="3" t="inlineStr"/>
      <c r="B15" s="4" t="inlineStr">
        <is>
          <t>53 genc fare (yaklasik 2 aylik) ile 44 yasli fare (yaklasik 18 aylik) karsilastirildi.</t>
        </is>
      </c>
    </row>
    <row r="16">
      <c r="A16" s="3" t="inlineStr"/>
      <c r="B16" s="4" t="inlineStr">
        <is>
          <t>Her fare tek bir gozlem sayildi, boylece ayni hayvandan gelen binlerce hucre yalanci tekrar olusturmadi.</t>
        </is>
      </c>
    </row>
    <row r="17">
      <c r="A17" s="3" t="inlineStr"/>
      <c r="B17" s="4" t="inlineStr">
        <is>
          <t>Ayrinti: Yaslanma Donor Testi sayfasi.</t>
        </is>
      </c>
    </row>
    <row r="19">
      <c r="A19" s="5" t="inlineStr">
        <is>
          <t>Ana sayisal sonuc</t>
        </is>
      </c>
    </row>
    <row r="20">
      <c r="A20" s="6" t="inlineStr">
        <is>
          <t>Hucre tipi</t>
        </is>
      </c>
      <c r="B20" s="6" t="inlineStr">
        <is>
          <t>Genc ortalama (log2)</t>
        </is>
      </c>
      <c r="C20" s="6" t="inlineStr">
        <is>
          <t>Yasli ortalama (log2)</t>
        </is>
      </c>
      <c r="D20" s="6" t="inlineStr">
        <is>
          <t>Fark (log2)</t>
        </is>
      </c>
      <c r="E20" s="6" t="inlineStr">
        <is>
          <t>Kat degisim</t>
        </is>
      </c>
      <c r="F20" s="6" t="inlineStr">
        <is>
          <t>Mann-Whitney p</t>
        </is>
      </c>
      <c r="G20" s="6" t="inlineStr">
        <is>
          <t>Cliff delta</t>
        </is>
      </c>
    </row>
    <row r="21">
      <c r="A21" s="7" t="inlineStr">
        <is>
          <t>Olgun oligodendrosit</t>
        </is>
      </c>
      <c r="B21" s="8" t="n">
        <v>7.867824</v>
      </c>
      <c r="C21" s="8" t="n">
        <v>8.117736000000001</v>
      </c>
      <c r="D21" s="9">
        <f>C21-B21</f>
        <v>0.24991200000000102</v>
      </c>
      <c r="E21" s="8">
        <f>POWER(2,D21)</f>
        <v>1.1891345792057955</v>
      </c>
      <c r="F21" s="10" t="n">
        <v>0.000242</v>
      </c>
      <c r="G21" s="9" t="n">
        <v>0.43482</v>
      </c>
    </row>
    <row r="22">
      <c r="A22" s="7" t="inlineStr">
        <is>
          <t>OPC (oncul)</t>
        </is>
      </c>
      <c r="B22" s="8" t="n">
        <v>6.792572</v>
      </c>
      <c r="C22" s="8" t="n">
        <v>6.923194</v>
      </c>
      <c r="D22" s="9">
        <f>C22-B22</f>
        <v>0.1306219999999998</v>
      </c>
      <c r="E22" s="8">
        <f>POWER(2,D22)</f>
        <v>1.094765594080088</v>
      </c>
      <c r="F22" s="11" t="n">
        <v>0.219357</v>
      </c>
      <c r="G22" s="9" t="n">
        <v>0.145798</v>
      </c>
    </row>
    <row r="24">
      <c r="A24" s="3" t="inlineStr">
        <is>
          <t>Notlar</t>
        </is>
      </c>
    </row>
    <row r="25">
      <c r="A25" s="12" t="inlineStr">
        <is>
          <t>- Olcum birimi log2(CPM + 1). Olculen sey mRNA'dir, protein degildir.</t>
        </is>
      </c>
    </row>
    <row r="26">
      <c r="A26" s="12" t="inlineStr">
        <is>
          <t>- Fark ve kat degisim sutunlari canli formuldur. p degerleri ve Cliff delta scipy ile hesaplandi, deger olarak yazildi.</t>
        </is>
      </c>
    </row>
    <row r="27">
      <c r="A27" s="12" t="inlineStr">
        <is>
          <t>- Kif13a, Allen'in yayimlanmis yasa bagli farkli ifade tablosunda yer almiyor, yani etki gercek ama mutevazi.</t>
        </is>
      </c>
    </row>
    <row r="28">
      <c r="A28" s="12" t="inlineStr">
        <is>
          <t>- Yaslanma kohortu 13 bolgenin sadece 7'sini kapsiyor. Serebellum, medulla, talamus, olfaktor ve CTXsp disarida.</t>
        </is>
      </c>
    </row>
    <row r="29">
      <c r="A29" s="12" t="inlineStr">
        <is>
          <t>- Kaynak kod: github.com/ikoshos-gland/kif13a-allenbrain</t>
        </is>
      </c>
    </row>
  </sheetData>
  <mergeCells count="21">
    <mergeCell ref="B14:G14"/>
    <mergeCell ref="B17:G17"/>
    <mergeCell ref="B8:G8"/>
    <mergeCell ref="A29:G29"/>
    <mergeCell ref="B13:G13"/>
    <mergeCell ref="A28:G28"/>
    <mergeCell ref="B10:G10"/>
    <mergeCell ref="B9:G9"/>
    <mergeCell ref="B15:G15"/>
    <mergeCell ref="B6:G6"/>
    <mergeCell ref="A1:G1"/>
    <mergeCell ref="B5:G5"/>
    <mergeCell ref="B4:G4"/>
    <mergeCell ref="A25:G25"/>
    <mergeCell ref="B7:G7"/>
    <mergeCell ref="B16:G16"/>
    <mergeCell ref="A27:G27"/>
    <mergeCell ref="A26:G26"/>
    <mergeCell ref="A2:G2"/>
    <mergeCell ref="B12:G12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12" customWidth="1" min="4" max="4"/>
    <col width="12" customWidth="1" min="5" max="5"/>
  </cols>
  <sheetData>
    <row r="1">
      <c r="A1" s="1" t="inlineStr">
        <is>
          <t>Veri seti kunyesi</t>
        </is>
      </c>
    </row>
    <row r="2">
      <c r="A2" s="2" t="inlineStr">
        <is>
          <t>Allen Brain Cell Atlas, abc-atlas-access ile indirildi, surum 20260711.</t>
        </is>
      </c>
    </row>
    <row r="4">
      <c r="A4" s="6" t="inlineStr">
        <is>
          <t>Ozellik</t>
        </is>
      </c>
      <c r="B4" s="6" t="inlineStr">
        <is>
          <t>Referans atlas</t>
        </is>
      </c>
      <c r="C4" s="6" t="inlineStr">
        <is>
          <t>Yaslanma kohortu</t>
        </is>
      </c>
    </row>
    <row r="5">
      <c r="A5" s="7" t="inlineStr">
        <is>
          <t>Ad</t>
        </is>
      </c>
      <c r="B5" s="7" t="inlineStr">
        <is>
          <t>WMB-10Xv3</t>
        </is>
      </c>
      <c r="C5" s="7" t="inlineStr">
        <is>
          <t>Zeng Aging Mouse 10Xv3</t>
        </is>
      </c>
    </row>
    <row r="6">
      <c r="A6" s="7" t="inlineStr">
        <is>
          <t>Hucre sayisi</t>
        </is>
      </c>
      <c r="B6" s="7" t="inlineStr">
        <is>
          <t>2.341.350</t>
        </is>
      </c>
      <c r="C6" s="7" t="inlineStr">
        <is>
          <t>1.162.565</t>
        </is>
      </c>
    </row>
    <row r="7">
      <c r="A7" s="7" t="inlineStr">
        <is>
          <t>Parca / bolge</t>
        </is>
      </c>
      <c r="B7" s="7" t="inlineStr">
        <is>
          <t>13 parca</t>
        </is>
      </c>
      <c r="C7" s="7" t="inlineStr">
        <is>
          <t>7 anatomik bolge</t>
        </is>
      </c>
    </row>
    <row r="8">
      <c r="A8" s="7" t="inlineStr">
        <is>
          <t>Fare sayisi</t>
        </is>
      </c>
      <c r="B8" s="7" t="inlineStr">
        <is>
          <t>cikarilmadi</t>
        </is>
      </c>
      <c r="C8" s="7" t="inlineStr">
        <is>
          <t>108 (64 genc, 44 yasli)</t>
        </is>
      </c>
    </row>
    <row r="9">
      <c r="A9" s="7" t="inlineStr">
        <is>
          <t>Gen sayisi</t>
        </is>
      </c>
      <c r="B9" s="7" t="inlineStr">
        <is>
          <t>32.285</t>
        </is>
      </c>
      <c r="C9" s="7" t="inlineStr">
        <is>
          <t>32.285</t>
        </is>
      </c>
    </row>
    <row r="10">
      <c r="A10" s="7" t="inlineStr">
        <is>
          <t>Ifade matrisi (disk)</t>
        </is>
      </c>
      <c r="B10" s="7" t="inlineStr">
        <is>
          <t>yaklasik 95 GB</t>
        </is>
      </c>
      <c r="C10" s="7" t="inlineStr">
        <is>
          <t>yaklasik 13 GB</t>
        </is>
      </c>
    </row>
    <row r="11">
      <c r="A11" s="7" t="inlineStr">
        <is>
          <t>Yontem</t>
        </is>
      </c>
      <c r="B11" s="7" t="inlineStr">
        <is>
          <t>10x Genomics Chromium v3</t>
        </is>
      </c>
      <c r="C11" s="7" t="inlineStr">
        <is>
          <t>10x Genomics Chromium v3</t>
        </is>
      </c>
    </row>
    <row r="12">
      <c r="A12" s="7" t="inlineStr">
        <is>
          <t>Deger birimi</t>
        </is>
      </c>
      <c r="B12" s="7" t="inlineStr">
        <is>
          <t>log2(CPM+1)</t>
        </is>
      </c>
      <c r="C12" s="7" t="inlineStr">
        <is>
          <t>log2(CPM+1)</t>
        </is>
      </c>
    </row>
    <row r="13">
      <c r="A13" s="7" t="inlineStr">
        <is>
          <t>Metadata surumu</t>
        </is>
      </c>
      <c r="B13" s="7" t="inlineStr">
        <is>
          <t>20241115</t>
        </is>
      </c>
      <c r="C13" s="7" t="inlineStr">
        <is>
          <t>20250131</t>
        </is>
      </c>
    </row>
    <row r="15">
      <c r="A15" s="3" t="inlineStr">
        <is>
          <t>Ortak taksonomi</t>
        </is>
      </c>
    </row>
    <row r="16">
      <c r="A16" s="6" t="inlineStr">
        <is>
          <t>Duzey</t>
        </is>
      </c>
      <c r="B16" s="6" t="inlineStr">
        <is>
          <t>Sayi</t>
        </is>
      </c>
    </row>
    <row r="17">
      <c r="A17" s="7" t="inlineStr">
        <is>
          <t>Sinif (class)</t>
        </is>
      </c>
      <c r="B17" s="13" t="n">
        <v>34</v>
      </c>
    </row>
    <row r="18">
      <c r="A18" s="7" t="inlineStr">
        <is>
          <t>Alt sinif (subclass)</t>
        </is>
      </c>
      <c r="B18" s="13" t="n">
        <v>338</v>
      </c>
    </row>
    <row r="19">
      <c r="A19" s="7" t="inlineStr">
        <is>
          <t>Supertip (supertype)</t>
        </is>
      </c>
      <c r="B19" s="13" t="n">
        <v>1201</v>
      </c>
    </row>
    <row r="20">
      <c r="A20" s="7" t="inlineStr">
        <is>
          <t>Kume (cluster)</t>
        </is>
      </c>
      <c r="B20" s="13" t="n">
        <v>5322</v>
      </c>
    </row>
    <row r="21">
      <c r="A21" s="7" t="inlineStr">
        <is>
          <t>Notrotransmitter tipi</t>
        </is>
      </c>
      <c r="B21" s="13" t="n">
        <v>10</v>
      </c>
    </row>
    <row r="23">
      <c r="A23" s="3" t="inlineStr">
        <is>
          <t>Notlar</t>
        </is>
      </c>
    </row>
    <row r="24">
      <c r="A24" s="12" t="inlineStr">
        <is>
          <t>- Gen kimligi: Kif13a = ENSMUSG00000021375.</t>
        </is>
      </c>
    </row>
    <row r="25">
      <c r="A25" s="12" t="inlineStr">
        <is>
          <t>- Yaslanma kohortu kapsami: izokorteks, hipokampus, orta beyin, pallidum, hipotalamus, pons, striatum.</t>
        </is>
      </c>
    </row>
    <row r="26">
      <c r="A26" s="12" t="inlineStr">
        <is>
          <t>- Kapsam disi: serebellum, medulla, talamus, olfaktor alan, kortikal subplate.</t>
        </is>
      </c>
    </row>
    <row r="27">
      <c r="A27" s="12" t="inlineStr">
        <is>
          <t>- Atlas onbellegi 103 GB. Depoya dahil edilmedi, script'ler ilk calistirmada indiriyor.</t>
        </is>
      </c>
    </row>
  </sheetData>
  <mergeCells count="6">
    <mergeCell ref="A1:D1"/>
    <mergeCell ref="A26:E26"/>
    <mergeCell ref="A24:E24"/>
    <mergeCell ref="A25:E25"/>
    <mergeCell ref="A2:D2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9" customWidth="1" min="4" max="4"/>
    <col width="19" customWidth="1" min="5" max="5"/>
    <col width="16" customWidth="1" min="6" max="6"/>
    <col width="13" customWidth="1" min="7" max="7"/>
    <col width="12" customWidth="1" min="8" max="8"/>
    <col width="13" customWidth="1" min="9" max="9"/>
    <col width="13" customWidth="1" min="10" max="10"/>
    <col width="12" customWidth="1" min="11" max="11"/>
  </cols>
  <sheetData>
    <row r="1">
      <c r="A1" s="1" t="inlineStr">
        <is>
          <t>Yaslanma: donor duzeyi test</t>
        </is>
      </c>
    </row>
    <row r="2">
      <c r="A2" s="2" t="inlineStr">
        <is>
          <t>Her fare tek gozlem. 53 genc ve 44 yasli farenin ortalamalari karsilastirildi.</t>
        </is>
      </c>
    </row>
    <row r="4">
      <c r="A4" s="6" t="inlineStr">
        <is>
          <t>Alt sinif</t>
        </is>
      </c>
      <c r="B4" s="6" t="inlineStr">
        <is>
          <t>Genc fare</t>
        </is>
      </c>
      <c r="C4" s="6" t="inlineStr">
        <is>
          <t>Yasli fare</t>
        </is>
      </c>
      <c r="D4" s="6" t="inlineStr">
        <is>
          <t>Genc ortalama (log2)</t>
        </is>
      </c>
      <c r="E4" s="6" t="inlineStr">
        <is>
          <t>Yasli ortalama (log2)</t>
        </is>
      </c>
      <c r="F4" s="6" t="inlineStr">
        <is>
          <t>Mann-Whitney p</t>
        </is>
      </c>
      <c r="G4" s="6" t="inlineStr">
        <is>
          <t>Welch t p</t>
        </is>
      </c>
      <c r="H4" s="6" t="inlineStr">
        <is>
          <t>Cliff delta</t>
        </is>
      </c>
      <c r="I4" s="6" t="inlineStr">
        <is>
          <t>Fark (log2)</t>
        </is>
      </c>
      <c r="J4" s="6" t="inlineStr">
        <is>
          <t>Kat degisim</t>
        </is>
      </c>
      <c r="K4" s="6" t="inlineStr">
        <is>
          <t>Anlamli mi</t>
        </is>
      </c>
    </row>
    <row r="5">
      <c r="A5" s="7" t="inlineStr">
        <is>
          <t>326 OPC NN</t>
        </is>
      </c>
      <c r="B5" s="7" t="n">
        <v>53</v>
      </c>
      <c r="C5" s="7" t="n">
        <v>44</v>
      </c>
      <c r="D5" s="8" t="n">
        <v>6.792571864150944</v>
      </c>
      <c r="E5" s="8" t="n">
        <v>6.923193772727274</v>
      </c>
      <c r="F5" s="11" t="n">
        <v>0.2193571229458359</v>
      </c>
      <c r="G5" s="11" t="n">
        <v>0.2405674806528518</v>
      </c>
      <c r="H5" s="9" t="n">
        <v>0.1457975986277873</v>
      </c>
      <c r="I5" s="9">
        <f>E5-D5</f>
        <v>0.13062190857632938</v>
      </c>
      <c r="J5" s="8">
        <f>POWER(2,I5)</f>
        <v>1.0947655247047297</v>
      </c>
      <c r="K5" s="7" t="str">
        <f>IF(F5&lt;0.05,"evet","hayir")</f>
        <v>hayir</v>
      </c>
    </row>
    <row r="6">
      <c r="A6" s="7" t="inlineStr">
        <is>
          <t>327 Oligo NN</t>
        </is>
      </c>
      <c r="B6" s="7" t="n">
        <v>53</v>
      </c>
      <c r="C6" s="7" t="n">
        <v>44</v>
      </c>
      <c r="D6" s="8" t="n">
        <v>7.867824467924529</v>
      </c>
      <c r="E6" s="8" t="n">
        <v>8.117736459090908</v>
      </c>
      <c r="F6" s="11" t="n">
        <v>0.0002423364789209</v>
      </c>
      <c r="G6" s="11" t="n">
        <v>0.0043761078733528</v>
      </c>
      <c r="H6" s="9" t="n">
        <v>0.434819897084048</v>
      </c>
      <c r="I6" s="9">
        <f>E6-D6</f>
        <v>0.2499119911663792</v>
      </c>
      <c r="J6" s="8">
        <f>POWER(2,I6)</f>
        <v>1.1891345719247244</v>
      </c>
      <c r="K6" s="7" t="str">
        <f>IF(F6&lt;0.05,"evet","hayir")</f>
        <v>evet</v>
      </c>
    </row>
    <row r="8">
      <c r="A8" s="3" t="inlineStr">
        <is>
          <t>Notlar</t>
        </is>
      </c>
    </row>
    <row r="9">
      <c r="A9" s="12" t="inlineStr">
        <is>
          <t>- Orijinal SLURM pipeline hic istatistik testi yapmiyor, sadece betimsel ortalama uretiyor. Bu sayfadaki testler sonradan eklendi.</t>
        </is>
      </c>
    </row>
    <row r="10">
      <c r="A10" s="12" t="inlineStr">
        <is>
          <t>- Hucre duzeyinde test yapilsaydi ayni fareden gelen binlerce hucre bagimsiz gozlem sayilir ve p degeri yapay olarak kucululurdu.</t>
        </is>
      </c>
    </row>
    <row r="11">
      <c r="A11" s="12" t="inlineStr">
        <is>
          <t>- Cliff delta parametrik olmayan etki buyuklugu. 0.147 kucuk, 0.435 orta buyuklukte kabul edilir.</t>
        </is>
      </c>
    </row>
    <row r="12">
      <c r="A12" s="12" t="inlineStr">
        <is>
          <t>- Ifade eden hucre orani her iki grupta da yaklasik yuzde 95, yani daha fazla hucre geni acmiyor.</t>
        </is>
      </c>
    </row>
  </sheetData>
  <mergeCells count="6">
    <mergeCell ref="A12:K12"/>
    <mergeCell ref="A2:H2"/>
    <mergeCell ref="A11:K11"/>
    <mergeCell ref="A10:K10"/>
    <mergeCell ref="A1:H1"/>
    <mergeCell ref="A9:K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1" customWidth="1" min="4" max="4"/>
    <col width="16" customWidth="1" min="5" max="5"/>
    <col width="16" customWidth="1" min="6" max="6"/>
    <col width="16" customWidth="1" min="7" max="7"/>
    <col width="15" customWidth="1" min="8" max="8"/>
    <col width="15" customWidth="1" min="9" max="9"/>
    <col width="13" customWidth="1" min="10" max="10"/>
  </cols>
  <sheetData>
    <row r="1">
      <c r="A1" s="1" t="inlineStr">
        <is>
          <t>Yaslanma: alt sinif ozeti (hucreler havuzlanmis)</t>
        </is>
      </c>
    </row>
    <row r="2">
      <c r="A2" s="2" t="inlineStr">
        <is>
          <t>Donor duzeyi duzeltmesi yok. Anlamlilik icin Yaslanma Donor Testi sayfasina bakin.</t>
        </is>
      </c>
    </row>
    <row r="4">
      <c r="A4" s="6" t="inlineStr">
        <is>
          <t>Yas grubu</t>
        </is>
      </c>
      <c r="B4" s="6" t="inlineStr">
        <is>
          <t>Alt sinif</t>
        </is>
      </c>
      <c r="C4" s="6" t="inlineStr">
        <is>
          <t>Hucre</t>
        </is>
      </c>
      <c r="D4" s="6" t="inlineStr">
        <is>
          <t>Fare</t>
        </is>
      </c>
      <c r="E4" s="6" t="inlineStr">
        <is>
          <t>Ortalama (log2)</t>
        </is>
      </c>
      <c r="F4" s="6" t="inlineStr">
        <is>
          <t>Ortanca (log2)</t>
        </is>
      </c>
      <c r="G4" s="6" t="inlineStr">
        <is>
          <t>Ifade eden oran</t>
        </is>
      </c>
    </row>
    <row r="5">
      <c r="A5" s="7" t="inlineStr">
        <is>
          <t>adult</t>
        </is>
      </c>
      <c r="B5" s="7" t="inlineStr">
        <is>
          <t>326 OPC NN</t>
        </is>
      </c>
      <c r="C5" s="13" t="n">
        <v>33243</v>
      </c>
      <c r="D5" s="7" t="n">
        <v>53</v>
      </c>
      <c r="E5" s="8" t="n">
        <v>6.9350824</v>
      </c>
      <c r="F5" s="8" t="n">
        <v>7.8295636</v>
      </c>
      <c r="G5" s="14" t="n">
        <v>0.8714315795806636</v>
      </c>
    </row>
    <row r="6">
      <c r="A6" s="7" t="inlineStr">
        <is>
          <t>adult</t>
        </is>
      </c>
      <c r="B6" s="7" t="inlineStr">
        <is>
          <t>327 Oligo NN</t>
        </is>
      </c>
      <c r="C6" s="13" t="n">
        <v>83475</v>
      </c>
      <c r="D6" s="7" t="n">
        <v>53</v>
      </c>
      <c r="E6" s="8" t="n">
        <v>7.9478726</v>
      </c>
      <c r="F6" s="8" t="n">
        <v>8.456071</v>
      </c>
      <c r="G6" s="14" t="n">
        <v>0.946451033243486</v>
      </c>
    </row>
    <row r="7">
      <c r="A7" s="7" t="inlineStr">
        <is>
          <t>aged</t>
        </is>
      </c>
      <c r="B7" s="7" t="inlineStr">
        <is>
          <t>326 OPC NN</t>
        </is>
      </c>
      <c r="C7" s="13" t="n">
        <v>54927</v>
      </c>
      <c r="D7" s="7" t="n">
        <v>44</v>
      </c>
      <c r="E7" s="8" t="n">
        <v>6.969838</v>
      </c>
      <c r="F7" s="8" t="n">
        <v>7.8079867</v>
      </c>
      <c r="G7" s="14" t="n">
        <v>0.879494601926193</v>
      </c>
    </row>
    <row r="8">
      <c r="A8" s="7" t="inlineStr">
        <is>
          <t>aged</t>
        </is>
      </c>
      <c r="B8" s="7" t="inlineStr">
        <is>
          <t>327 Oligo NN</t>
        </is>
      </c>
      <c r="C8" s="13" t="n">
        <v>81823</v>
      </c>
      <c r="D8" s="7" t="n">
        <v>44</v>
      </c>
      <c r="E8" s="8" t="n">
        <v>8.226858</v>
      </c>
      <c r="F8" s="8" t="n">
        <v>8.717043</v>
      </c>
      <c r="G8" s="14" t="n">
        <v>0.9499651687178422</v>
      </c>
    </row>
    <row r="10">
      <c r="A10" s="3" t="inlineStr">
        <is>
          <t>Genc - yasli farklari</t>
        </is>
      </c>
    </row>
    <row r="11">
      <c r="A11" s="6" t="inlineStr">
        <is>
          <t>Alt sinif</t>
        </is>
      </c>
      <c r="B11" s="6" t="inlineStr">
        <is>
          <t>Genc ortalama</t>
        </is>
      </c>
      <c r="C11" s="6" t="inlineStr">
        <is>
          <t>Yasli ortalama</t>
        </is>
      </c>
      <c r="D11" s="6" t="inlineStr">
        <is>
          <t>Genc ortanca</t>
        </is>
      </c>
      <c r="E11" s="6" t="inlineStr">
        <is>
          <t>Yasli ortanca</t>
        </is>
      </c>
      <c r="F11" s="6" t="inlineStr">
        <is>
          <t>Genc ifade oran</t>
        </is>
      </c>
      <c r="G11" s="6" t="inlineStr">
        <is>
          <t>Yasli ifade oran</t>
        </is>
      </c>
      <c r="H11" s="6" t="inlineStr">
        <is>
          <t>Ortalama farki</t>
        </is>
      </c>
      <c r="I11" s="6" t="inlineStr">
        <is>
          <t>Ortanca farki</t>
        </is>
      </c>
      <c r="J11" s="6" t="inlineStr">
        <is>
          <t>Oran farki</t>
        </is>
      </c>
    </row>
    <row r="12">
      <c r="A12" s="7" t="inlineStr">
        <is>
          <t>326 OPC NN</t>
        </is>
      </c>
      <c r="B12" s="8" t="n">
        <v>6.93508243560791</v>
      </c>
      <c r="C12" s="8" t="n">
        <v>6.96983814239502</v>
      </c>
      <c r="D12" s="8" t="n">
        <v>7.829563617706299</v>
      </c>
      <c r="E12" s="8" t="n">
        <v>7.807986736297607</v>
      </c>
      <c r="F12" s="14" t="n">
        <v>0.8714315795806636</v>
      </c>
      <c r="G12" s="14" t="n">
        <v>0.879494601926193</v>
      </c>
      <c r="H12" s="9">
        <f>C12-B12</f>
        <v>0.03475570678711026</v>
      </c>
      <c r="I12" s="9">
        <f>E12-D12</f>
        <v>-0.021576881408691406</v>
      </c>
      <c r="J12" s="15">
        <f>G12-F12</f>
        <v>0.008063022345529025</v>
      </c>
    </row>
    <row r="13">
      <c r="A13" s="7" t="inlineStr">
        <is>
          <t>327 Oligo NN</t>
        </is>
      </c>
      <c r="B13" s="8" t="n">
        <v>7.947872638702393</v>
      </c>
      <c r="C13" s="8" t="n">
        <v>8.226858139038086</v>
      </c>
      <c r="D13" s="8" t="n">
        <v>8.456070899963379</v>
      </c>
      <c r="E13" s="8" t="n">
        <v>8.717042922973633</v>
      </c>
      <c r="F13" s="14" t="n">
        <v>0.946451033243486</v>
      </c>
      <c r="G13" s="14" t="n">
        <v>0.9499651687178422</v>
      </c>
      <c r="H13" s="9">
        <f>C13-B13</f>
        <v>0.27898550033569336</v>
      </c>
      <c r="I13" s="9">
        <f>E13-D13</f>
        <v>0.2609720230102539</v>
      </c>
      <c r="J13" s="15">
        <f>G13-F13</f>
        <v>0.0035141354743559727</v>
      </c>
    </row>
    <row r="15">
      <c r="A15" s="3" t="inlineStr">
        <is>
          <t>Notlar</t>
        </is>
      </c>
    </row>
    <row r="16">
      <c r="A16" s="12" t="inlineStr">
        <is>
          <t>- Bu sayfadaki sayilar tum hucreler havuzlanarak hesaplandi, fare kimligi dikkate alinmadi.</t>
        </is>
      </c>
    </row>
    <row r="17">
      <c r="A17" s="12" t="inlineStr">
        <is>
          <t>- Yasli farelerin fare basina daha cok hucre vermesi bu havuzlanmis ortalamalari etkileyebilir.</t>
        </is>
      </c>
    </row>
  </sheetData>
  <mergeCells count="4">
    <mergeCell ref="A17:J17"/>
    <mergeCell ref="A16:J16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1" customWidth="1" min="4" max="4"/>
    <col width="9" customWidth="1" min="5" max="5"/>
    <col width="16" customWidth="1" min="6" max="6"/>
    <col width="16" customWidth="1" min="7" max="7"/>
    <col width="15" customWidth="1" min="8" max="8"/>
  </cols>
  <sheetData>
    <row r="1">
      <c r="A1" s="1" t="inlineStr">
        <is>
          <t>Yaslanma: bolgeye gore kirilim</t>
        </is>
      </c>
    </row>
    <row r="2">
      <c r="A2" s="2" t="inlineStr">
        <is>
          <t>Yaslanma kohortunun kapsadigi 7 anatomik bolge. Oligodendrositte artis 7 bolgenin 7'sinde de var.</t>
        </is>
      </c>
    </row>
    <row r="4">
      <c r="A4" s="6" t="inlineStr">
        <is>
          <t>Bolge</t>
        </is>
      </c>
      <c r="B4" s="6" t="inlineStr">
        <is>
          <t>Yas grubu</t>
        </is>
      </c>
      <c r="C4" s="6" t="inlineStr">
        <is>
          <t>Alt sinif</t>
        </is>
      </c>
      <c r="D4" s="6" t="inlineStr">
        <is>
          <t>Hucre</t>
        </is>
      </c>
      <c r="E4" s="6" t="inlineStr">
        <is>
          <t>Fare</t>
        </is>
      </c>
      <c r="F4" s="6" t="inlineStr">
        <is>
          <t>Ortalama (log2)</t>
        </is>
      </c>
      <c r="G4" s="6" t="inlineStr">
        <is>
          <t>Ortanca (log2)</t>
        </is>
      </c>
      <c r="H4" s="6" t="inlineStr">
        <is>
          <t>Ifade eden oran</t>
        </is>
      </c>
    </row>
    <row r="5">
      <c r="A5" s="7" t="inlineStr">
        <is>
          <t>HPF</t>
        </is>
      </c>
      <c r="B5" s="7" t="inlineStr">
        <is>
          <t>adult</t>
        </is>
      </c>
      <c r="C5" s="7" t="inlineStr">
        <is>
          <t>326 OPC NN</t>
        </is>
      </c>
      <c r="D5" s="13" t="n">
        <v>5909</v>
      </c>
      <c r="E5" s="7" t="n">
        <v>8</v>
      </c>
      <c r="F5" s="8" t="n">
        <v>7.4181957</v>
      </c>
      <c r="G5" s="8" t="n">
        <v>8.106101000000001</v>
      </c>
      <c r="H5" s="14" t="n">
        <v>0.914198679979692</v>
      </c>
    </row>
    <row r="6">
      <c r="A6" s="7" t="inlineStr">
        <is>
          <t>HPF</t>
        </is>
      </c>
      <c r="B6" s="7" t="inlineStr">
        <is>
          <t>aged</t>
        </is>
      </c>
      <c r="C6" s="7" t="inlineStr">
        <is>
          <t>326 OPC NN</t>
        </is>
      </c>
      <c r="D6" s="13" t="n">
        <v>11771</v>
      </c>
      <c r="E6" s="7" t="n">
        <v>19</v>
      </c>
      <c r="F6" s="8" t="n">
        <v>7.302477</v>
      </c>
      <c r="G6" s="8" t="n">
        <v>8.025351000000001</v>
      </c>
      <c r="H6" s="14" t="n">
        <v>0.9049358593152664</v>
      </c>
    </row>
    <row r="7">
      <c r="A7" s="7" t="inlineStr">
        <is>
          <t>HY</t>
        </is>
      </c>
      <c r="B7" s="7" t="inlineStr">
        <is>
          <t>adult</t>
        </is>
      </c>
      <c r="C7" s="7" t="inlineStr">
        <is>
          <t>326 OPC NN</t>
        </is>
      </c>
      <c r="D7" s="13" t="n">
        <v>1198</v>
      </c>
      <c r="E7" s="7" t="n">
        <v>4</v>
      </c>
      <c r="F7" s="8" t="n">
        <v>7.0475044</v>
      </c>
      <c r="G7" s="8" t="n">
        <v>7.8208885</v>
      </c>
      <c r="H7" s="14" t="n">
        <v>0.8948247078464107</v>
      </c>
    </row>
    <row r="8">
      <c r="A8" s="7" t="inlineStr">
        <is>
          <t>HY</t>
        </is>
      </c>
      <c r="B8" s="7" t="inlineStr">
        <is>
          <t>aged</t>
        </is>
      </c>
      <c r="C8" s="7" t="inlineStr">
        <is>
          <t>326 OPC NN</t>
        </is>
      </c>
      <c r="D8" s="13" t="n">
        <v>4238</v>
      </c>
      <c r="E8" s="7" t="n">
        <v>5</v>
      </c>
      <c r="F8" s="8" t="n">
        <v>7.1246595</v>
      </c>
      <c r="G8" s="8" t="n">
        <v>7.8660803</v>
      </c>
      <c r="H8" s="14" t="n">
        <v>0.8978291647003304</v>
      </c>
    </row>
    <row r="9">
      <c r="A9" s="7" t="inlineStr">
        <is>
          <t>Isocortex</t>
        </is>
      </c>
      <c r="B9" s="7" t="inlineStr">
        <is>
          <t>adult</t>
        </is>
      </c>
      <c r="C9" s="7" t="inlineStr">
        <is>
          <t>326 OPC NN</t>
        </is>
      </c>
      <c r="D9" s="13" t="n">
        <v>5198</v>
      </c>
      <c r="E9" s="7" t="n">
        <v>9</v>
      </c>
      <c r="F9" s="8" t="n">
        <v>7.431852</v>
      </c>
      <c r="G9" s="8" t="n">
        <v>8.116034000000001</v>
      </c>
      <c r="H9" s="14" t="n">
        <v>0.911119661408234</v>
      </c>
    </row>
    <row r="10">
      <c r="A10" s="7" t="inlineStr">
        <is>
          <t>Isocortex</t>
        </is>
      </c>
      <c r="B10" s="7" t="inlineStr">
        <is>
          <t>aged</t>
        </is>
      </c>
      <c r="C10" s="7" t="inlineStr">
        <is>
          <t>326 OPC NN</t>
        </is>
      </c>
      <c r="D10" s="13" t="n">
        <v>9763</v>
      </c>
      <c r="E10" s="7" t="n">
        <v>14</v>
      </c>
      <c r="F10" s="8" t="n">
        <v>7.244474</v>
      </c>
      <c r="G10" s="8" t="n">
        <v>8.002133000000001</v>
      </c>
      <c r="H10" s="14" t="n">
        <v>0.8957287718938851</v>
      </c>
    </row>
    <row r="11">
      <c r="A11" s="7" t="inlineStr">
        <is>
          <t>MB</t>
        </is>
      </c>
      <c r="B11" s="7" t="inlineStr">
        <is>
          <t>adult</t>
        </is>
      </c>
      <c r="C11" s="7" t="inlineStr">
        <is>
          <t>326 OPC NN</t>
        </is>
      </c>
      <c r="D11" s="13" t="n">
        <v>6064</v>
      </c>
      <c r="E11" s="7" t="n">
        <v>14</v>
      </c>
      <c r="F11" s="8" t="n">
        <v>6.5772257</v>
      </c>
      <c r="G11" s="8" t="n">
        <v>7.61125</v>
      </c>
      <c r="H11" s="14" t="n">
        <v>0.845811345646438</v>
      </c>
    </row>
    <row r="12">
      <c r="A12" s="7" t="inlineStr">
        <is>
          <t>MB</t>
        </is>
      </c>
      <c r="B12" s="7" t="inlineStr">
        <is>
          <t>aged</t>
        </is>
      </c>
      <c r="C12" s="7" t="inlineStr">
        <is>
          <t>326 OPC NN</t>
        </is>
      </c>
      <c r="D12" s="13" t="n">
        <v>8730</v>
      </c>
      <c r="E12" s="7" t="n">
        <v>11</v>
      </c>
      <c r="F12" s="8" t="n">
        <v>6.6555014</v>
      </c>
      <c r="G12" s="8" t="n">
        <v>7.577699</v>
      </c>
      <c r="H12" s="14" t="n">
        <v>0.8591065292096219</v>
      </c>
    </row>
    <row r="13">
      <c r="A13" s="7" t="inlineStr">
        <is>
          <t>P</t>
        </is>
      </c>
      <c r="B13" s="7" t="inlineStr">
        <is>
          <t>adult</t>
        </is>
      </c>
      <c r="C13" s="7" t="inlineStr">
        <is>
          <t>326 OPC NN</t>
        </is>
      </c>
      <c r="D13" s="13" t="n">
        <v>3168</v>
      </c>
      <c r="E13" s="7" t="n">
        <v>9</v>
      </c>
      <c r="F13" s="8" t="n">
        <v>6.0950522</v>
      </c>
      <c r="G13" s="8" t="n">
        <v>7.387064</v>
      </c>
      <c r="H13" s="14" t="n">
        <v>0.7935606060606061</v>
      </c>
    </row>
    <row r="14">
      <c r="A14" s="7" t="inlineStr">
        <is>
          <t>P</t>
        </is>
      </c>
      <c r="B14" s="7" t="inlineStr">
        <is>
          <t>aged</t>
        </is>
      </c>
      <c r="C14" s="7" t="inlineStr">
        <is>
          <t>326 OPC NN</t>
        </is>
      </c>
      <c r="D14" s="13" t="n">
        <v>9384</v>
      </c>
      <c r="E14" s="7" t="n">
        <v>10</v>
      </c>
      <c r="F14" s="8" t="n">
        <v>6.3697906</v>
      </c>
      <c r="G14" s="8" t="n">
        <v>7.448126</v>
      </c>
      <c r="H14" s="14" t="n">
        <v>0.8274722932651322</v>
      </c>
    </row>
    <row r="15">
      <c r="A15" s="7" t="inlineStr">
        <is>
          <t>PAL</t>
        </is>
      </c>
      <c r="B15" s="7" t="inlineStr">
        <is>
          <t>adult</t>
        </is>
      </c>
      <c r="C15" s="7" t="inlineStr">
        <is>
          <t>326 OPC NN</t>
        </is>
      </c>
      <c r="D15" s="13" t="n">
        <v>5022</v>
      </c>
      <c r="E15" s="7" t="n">
        <v>8</v>
      </c>
      <c r="F15" s="8" t="n">
        <v>6.498734</v>
      </c>
      <c r="G15" s="8" t="n">
        <v>7.6054444</v>
      </c>
      <c r="H15" s="14" t="n">
        <v>0.8295499800876145</v>
      </c>
    </row>
    <row r="16">
      <c r="A16" s="7" t="inlineStr">
        <is>
          <t>PAL</t>
        </is>
      </c>
      <c r="B16" s="7" t="inlineStr">
        <is>
          <t>aged</t>
        </is>
      </c>
      <c r="C16" s="7" t="inlineStr">
        <is>
          <t>326 OPC NN</t>
        </is>
      </c>
      <c r="D16" s="13" t="n">
        <v>3150</v>
      </c>
      <c r="E16" s="7" t="n">
        <v>3</v>
      </c>
      <c r="F16" s="8" t="n">
        <v>6.9180202</v>
      </c>
      <c r="G16" s="8" t="n">
        <v>7.7828946</v>
      </c>
      <c r="H16" s="14" t="n">
        <v>0.8784126984126984</v>
      </c>
    </row>
    <row r="17">
      <c r="A17" s="7" t="inlineStr">
        <is>
          <t>STR</t>
        </is>
      </c>
      <c r="B17" s="7" t="inlineStr">
        <is>
          <t>adult</t>
        </is>
      </c>
      <c r="C17" s="7" t="inlineStr">
        <is>
          <t>326 OPC NN</t>
        </is>
      </c>
      <c r="D17" s="13" t="n">
        <v>6684</v>
      </c>
      <c r="E17" s="7" t="n">
        <v>15</v>
      </c>
      <c r="F17" s="8" t="n">
        <v>7.1521654</v>
      </c>
      <c r="G17" s="8" t="n">
        <v>7.9652705</v>
      </c>
      <c r="H17" s="14" t="n">
        <v>0.8901855176540994</v>
      </c>
    </row>
    <row r="18">
      <c r="A18" s="7" t="inlineStr">
        <is>
          <t>STR</t>
        </is>
      </c>
      <c r="B18" s="7" t="inlineStr">
        <is>
          <t>aged</t>
        </is>
      </c>
      <c r="C18" s="7" t="inlineStr">
        <is>
          <t>326 OPC NN</t>
        </is>
      </c>
      <c r="D18" s="13" t="n">
        <v>7891</v>
      </c>
      <c r="E18" s="7" t="n">
        <v>13</v>
      </c>
      <c r="F18" s="8" t="n">
        <v>7.132727</v>
      </c>
      <c r="G18" s="8" t="n">
        <v>7.8606396</v>
      </c>
      <c r="H18" s="14" t="n">
        <v>0.896464326447852</v>
      </c>
    </row>
    <row r="19">
      <c r="A19" s="7" t="inlineStr">
        <is>
          <t>HPF</t>
        </is>
      </c>
      <c r="B19" s="7" t="inlineStr">
        <is>
          <t>adult</t>
        </is>
      </c>
      <c r="C19" s="7" t="inlineStr">
        <is>
          <t>327 Oligo NN</t>
        </is>
      </c>
      <c r="D19" s="13" t="n">
        <v>6966</v>
      </c>
      <c r="E19" s="7" t="n">
        <v>8</v>
      </c>
      <c r="F19" s="8" t="n">
        <v>7.948546</v>
      </c>
      <c r="G19" s="8" t="n">
        <v>8.568778</v>
      </c>
      <c r="H19" s="14" t="n">
        <v>0.9358311800172264</v>
      </c>
    </row>
    <row r="20">
      <c r="A20" s="7" t="inlineStr">
        <is>
          <t>HPF</t>
        </is>
      </c>
      <c r="B20" s="7" t="inlineStr">
        <is>
          <t>aged</t>
        </is>
      </c>
      <c r="C20" s="7" t="inlineStr">
        <is>
          <t>327 Oligo NN</t>
        </is>
      </c>
      <c r="D20" s="13" t="n">
        <v>8388</v>
      </c>
      <c r="E20" s="7" t="n">
        <v>19</v>
      </c>
      <c r="F20" s="8" t="n">
        <v>8.312139500000001</v>
      </c>
      <c r="G20" s="8" t="n">
        <v>8.865266999999999</v>
      </c>
      <c r="H20" s="14" t="n">
        <v>0.9422985216976634</v>
      </c>
    </row>
    <row r="21">
      <c r="A21" s="7" t="inlineStr">
        <is>
          <t>HY</t>
        </is>
      </c>
      <c r="B21" s="7" t="inlineStr">
        <is>
          <t>adult</t>
        </is>
      </c>
      <c r="C21" s="7" t="inlineStr">
        <is>
          <t>327 Oligo NN</t>
        </is>
      </c>
      <c r="D21" s="13" t="n">
        <v>2070</v>
      </c>
      <c r="E21" s="7" t="n">
        <v>4</v>
      </c>
      <c r="F21" s="8" t="n">
        <v>8.044663999999999</v>
      </c>
      <c r="G21" s="8" t="n">
        <v>8.522266</v>
      </c>
      <c r="H21" s="14" t="n">
        <v>0.9497584541062802</v>
      </c>
    </row>
    <row r="22">
      <c r="A22" s="7" t="inlineStr">
        <is>
          <t>HY</t>
        </is>
      </c>
      <c r="B22" s="7" t="inlineStr">
        <is>
          <t>aged</t>
        </is>
      </c>
      <c r="C22" s="7" t="inlineStr">
        <is>
          <t>327 Oligo NN</t>
        </is>
      </c>
      <c r="D22" s="13" t="n">
        <v>4908</v>
      </c>
      <c r="E22" s="7" t="n">
        <v>5</v>
      </c>
      <c r="F22" s="8" t="n">
        <v>8.326701999999999</v>
      </c>
      <c r="G22" s="8" t="n">
        <v>8.779783</v>
      </c>
      <c r="H22" s="14" t="n">
        <v>0.95680521597392</v>
      </c>
    </row>
    <row r="23">
      <c r="A23" s="7" t="inlineStr">
        <is>
          <t>Isocortex</t>
        </is>
      </c>
      <c r="B23" s="7" t="inlineStr">
        <is>
          <t>adult</t>
        </is>
      </c>
      <c r="C23" s="7" t="inlineStr">
        <is>
          <t>327 Oligo NN</t>
        </is>
      </c>
      <c r="D23" s="13" t="n">
        <v>6452</v>
      </c>
      <c r="E23" s="7" t="n">
        <v>9</v>
      </c>
      <c r="F23" s="8" t="n">
        <v>8.007250000000001</v>
      </c>
      <c r="G23" s="8" t="n">
        <v>8.647285</v>
      </c>
      <c r="H23" s="14" t="n">
        <v>0.935368877867328</v>
      </c>
    </row>
    <row r="24">
      <c r="A24" s="7" t="inlineStr">
        <is>
          <t>Isocortex</t>
        </is>
      </c>
      <c r="B24" s="7" t="inlineStr">
        <is>
          <t>aged</t>
        </is>
      </c>
      <c r="C24" s="7" t="inlineStr">
        <is>
          <t>327 Oligo NN</t>
        </is>
      </c>
      <c r="D24" s="13" t="n">
        <v>15692</v>
      </c>
      <c r="E24" s="7" t="n">
        <v>14</v>
      </c>
      <c r="F24" s="8" t="n">
        <v>8.306156</v>
      </c>
      <c r="G24" s="8" t="n">
        <v>8.903229</v>
      </c>
      <c r="H24" s="14" t="n">
        <v>0.9346163650267652</v>
      </c>
    </row>
    <row r="25">
      <c r="A25" s="7" t="inlineStr">
        <is>
          <t>MB</t>
        </is>
      </c>
      <c r="B25" s="7" t="inlineStr">
        <is>
          <t>adult</t>
        </is>
      </c>
      <c r="C25" s="7" t="inlineStr">
        <is>
          <t>327 Oligo NN</t>
        </is>
      </c>
      <c r="D25" s="13" t="n">
        <v>21472</v>
      </c>
      <c r="E25" s="7" t="n">
        <v>14</v>
      </c>
      <c r="F25" s="8" t="n">
        <v>8.139359000000001</v>
      </c>
      <c r="G25" s="8" t="n">
        <v>8.586646999999999</v>
      </c>
      <c r="H25" s="14" t="n">
        <v>0.9575260804769</v>
      </c>
    </row>
    <row r="26">
      <c r="A26" s="7" t="inlineStr">
        <is>
          <t>MB</t>
        </is>
      </c>
      <c r="B26" s="7" t="inlineStr">
        <is>
          <t>aged</t>
        </is>
      </c>
      <c r="C26" s="7" t="inlineStr">
        <is>
          <t>327 Oligo NN</t>
        </is>
      </c>
      <c r="D26" s="13" t="n">
        <v>15331</v>
      </c>
      <c r="E26" s="7" t="n">
        <v>11</v>
      </c>
      <c r="F26" s="8" t="n">
        <v>8.19346</v>
      </c>
      <c r="G26" s="8" t="n">
        <v>8.62269</v>
      </c>
      <c r="H26" s="14" t="n">
        <v>0.9577326984541126</v>
      </c>
    </row>
    <row r="27">
      <c r="A27" s="7" t="inlineStr">
        <is>
          <t>P</t>
        </is>
      </c>
      <c r="B27" s="7" t="inlineStr">
        <is>
          <t>adult</t>
        </is>
      </c>
      <c r="C27" s="7" t="inlineStr">
        <is>
          <t>327 Oligo NN</t>
        </is>
      </c>
      <c r="D27" s="13" t="n">
        <v>18198</v>
      </c>
      <c r="E27" s="7" t="n">
        <v>9</v>
      </c>
      <c r="F27" s="8" t="n">
        <v>7.9330397</v>
      </c>
      <c r="G27" s="8" t="n">
        <v>8.387382499999999</v>
      </c>
      <c r="H27" s="14" t="n">
        <v>0.9524123530058248</v>
      </c>
    </row>
    <row r="28">
      <c r="A28" s="7" t="inlineStr">
        <is>
          <t>P</t>
        </is>
      </c>
      <c r="B28" s="7" t="inlineStr">
        <is>
          <t>aged</t>
        </is>
      </c>
      <c r="C28" s="7" t="inlineStr">
        <is>
          <t>327 Oligo NN</t>
        </is>
      </c>
      <c r="D28" s="13" t="n">
        <v>21906</v>
      </c>
      <c r="E28" s="7" t="n">
        <v>10</v>
      </c>
      <c r="F28" s="8" t="n">
        <v>8.185214999999999</v>
      </c>
      <c r="G28" s="8" t="n">
        <v>8.61558</v>
      </c>
      <c r="H28" s="14" t="n">
        <v>0.9589153656532456</v>
      </c>
    </row>
    <row r="29">
      <c r="A29" s="7" t="inlineStr">
        <is>
          <t>PAL</t>
        </is>
      </c>
      <c r="B29" s="7" t="inlineStr">
        <is>
          <t>adult</t>
        </is>
      </c>
      <c r="C29" s="7" t="inlineStr">
        <is>
          <t>327 Oligo NN</t>
        </is>
      </c>
      <c r="D29" s="13" t="n">
        <v>18498</v>
      </c>
      <c r="E29" s="7" t="n">
        <v>8</v>
      </c>
      <c r="F29" s="8" t="n">
        <v>7.7508726</v>
      </c>
      <c r="G29" s="8" t="n">
        <v>8.299305</v>
      </c>
      <c r="H29" s="14" t="n">
        <v>0.9381554762677046</v>
      </c>
    </row>
    <row r="30">
      <c r="A30" s="7" t="inlineStr">
        <is>
          <t>PAL</t>
        </is>
      </c>
      <c r="B30" s="7" t="inlineStr">
        <is>
          <t>aged</t>
        </is>
      </c>
      <c r="C30" s="7" t="inlineStr">
        <is>
          <t>327 Oligo NN</t>
        </is>
      </c>
      <c r="D30" s="13" t="n">
        <v>4212</v>
      </c>
      <c r="E30" s="7" t="n">
        <v>3</v>
      </c>
      <c r="F30" s="8" t="n">
        <v>7.992005</v>
      </c>
      <c r="G30" s="8" t="n">
        <v>8.526125</v>
      </c>
      <c r="H30" s="14" t="n">
        <v>0.9449192782526116</v>
      </c>
    </row>
    <row r="31">
      <c r="A31" s="7" t="inlineStr">
        <is>
          <t>STR</t>
        </is>
      </c>
      <c r="B31" s="7" t="inlineStr">
        <is>
          <t>adult</t>
        </is>
      </c>
      <c r="C31" s="7" t="inlineStr">
        <is>
          <t>327 Oligo NN</t>
        </is>
      </c>
      <c r="D31" s="13" t="n">
        <v>9819</v>
      </c>
      <c r="E31" s="7" t="n">
        <v>15</v>
      </c>
      <c r="F31" s="8" t="n">
        <v>7.8678527</v>
      </c>
      <c r="G31" s="8" t="n">
        <v>8.416407</v>
      </c>
      <c r="H31" s="14" t="n">
        <v>0.9409308483552296</v>
      </c>
    </row>
    <row r="32">
      <c r="A32" s="7" t="inlineStr">
        <is>
          <t>STR</t>
        </is>
      </c>
      <c r="B32" s="7" t="inlineStr">
        <is>
          <t>aged</t>
        </is>
      </c>
      <c r="C32" s="7" t="inlineStr">
        <is>
          <t>327 Oligo NN</t>
        </is>
      </c>
      <c r="D32" s="13" t="n">
        <v>11386</v>
      </c>
      <c r="E32" s="7" t="n">
        <v>13</v>
      </c>
      <c r="F32" s="8" t="n">
        <v>8.223668</v>
      </c>
      <c r="G32" s="8" t="n">
        <v>8.725830999999999</v>
      </c>
      <c r="H32" s="14" t="n">
        <v>0.9480063235552432</v>
      </c>
    </row>
    <row r="34">
      <c r="A34" s="3" t="inlineStr">
        <is>
          <t>Notlar</t>
        </is>
      </c>
    </row>
    <row r="35">
      <c r="A35" s="12" t="inlineStr">
        <is>
          <t>- Oligodendrositte yasli ortalamasi 7 bolgenin 7'sinde de genc ortalamasinin uzerinde. OPC'de yon karisik, 4 bolgede artis 3 bolgede azalis.</t>
        </is>
      </c>
    </row>
    <row r="36">
      <c r="A36" s="12" t="inlineStr">
        <is>
          <t>- Bu asimetri oligodendrosit sinyalinin gercek olduguna dair ikinci bir kanit.</t>
        </is>
      </c>
    </row>
  </sheetData>
  <mergeCells count="4">
    <mergeCell ref="A36:H36"/>
    <mergeCell ref="A35:H35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10" customWidth="1" min="4" max="4"/>
    <col width="16" customWidth="1" min="5" max="5"/>
    <col width="10" customWidth="1" min="6" max="6"/>
    <col width="16" customWidth="1" min="7" max="7"/>
    <col width="16" customWidth="1" min="8" max="8"/>
    <col width="15" customWidth="1" min="9" max="9"/>
  </cols>
  <sheetData>
    <row r="1">
      <c r="A1" s="1" t="inlineStr">
        <is>
          <t>Yaslanma: fare bazinda tablo</t>
        </is>
      </c>
    </row>
    <row r="2">
      <c r="A2" s="2" t="inlineStr">
        <is>
          <t>Analize giren 97 farenin her biri, her alt sinif icin bir satir.</t>
        </is>
      </c>
    </row>
    <row r="4">
      <c r="A4" s="6" t="inlineStr">
        <is>
          <t>Fare</t>
        </is>
      </c>
      <c r="B4" s="6" t="inlineStr">
        <is>
          <t>Yas grubu</t>
        </is>
      </c>
      <c r="C4" s="6" t="inlineStr">
        <is>
          <t>Yas</t>
        </is>
      </c>
      <c r="D4" s="6" t="inlineStr">
        <is>
          <t>Cinsiyet</t>
        </is>
      </c>
      <c r="E4" s="6" t="inlineStr">
        <is>
          <t>Alt sinif</t>
        </is>
      </c>
      <c r="F4" s="6" t="inlineStr">
        <is>
          <t>Hucre</t>
        </is>
      </c>
      <c r="G4" s="6" t="inlineStr">
        <is>
          <t>Ortalama (log2)</t>
        </is>
      </c>
      <c r="H4" s="6" t="inlineStr">
        <is>
          <t>Ortanca (log2)</t>
        </is>
      </c>
      <c r="I4" s="6" t="inlineStr">
        <is>
          <t>Ifade eden oran</t>
        </is>
      </c>
    </row>
    <row r="5">
      <c r="A5" s="7" t="inlineStr">
        <is>
          <t>Snap25-IRES2-Cre;Ai14-450087</t>
        </is>
      </c>
      <c r="B5" s="7" t="inlineStr">
        <is>
          <t>adult</t>
        </is>
      </c>
      <c r="C5" s="7" t="inlineStr">
        <is>
          <t>P56</t>
        </is>
      </c>
      <c r="D5" s="7" t="inlineStr">
        <is>
          <t>M</t>
        </is>
      </c>
      <c r="E5" s="7" t="inlineStr">
        <is>
          <t>326 OPC NN</t>
        </is>
      </c>
      <c r="F5" s="13" t="n">
        <v>853</v>
      </c>
      <c r="G5" s="8" t="n">
        <v>6.7247176</v>
      </c>
      <c r="H5" s="8" t="n">
        <v>7.658344</v>
      </c>
      <c r="I5" s="14" t="n">
        <v>0.8558030480656507</v>
      </c>
    </row>
    <row r="6">
      <c r="A6" s="7" t="inlineStr">
        <is>
          <t>Snap25-IRES2-Cre;Ai14-450095</t>
        </is>
      </c>
      <c r="B6" s="7" t="inlineStr">
        <is>
          <t>adult</t>
        </is>
      </c>
      <c r="C6" s="7" t="inlineStr">
        <is>
          <t>P56</t>
        </is>
      </c>
      <c r="D6" s="7" t="inlineStr">
        <is>
          <t>F</t>
        </is>
      </c>
      <c r="E6" s="7" t="inlineStr">
        <is>
          <t>326 OPC NN</t>
        </is>
      </c>
      <c r="F6" s="13" t="n">
        <v>191</v>
      </c>
      <c r="G6" s="8" t="n">
        <v>6.5336413</v>
      </c>
      <c r="H6" s="8" t="n">
        <v>7.8023367</v>
      </c>
      <c r="I6" s="14" t="n">
        <v>0.8167539267015707</v>
      </c>
    </row>
    <row r="7">
      <c r="A7" s="7" t="inlineStr">
        <is>
          <t>Snap25-IRES2-Cre;Ai14-459490</t>
        </is>
      </c>
      <c r="B7" s="7" t="inlineStr">
        <is>
          <t>adult</t>
        </is>
      </c>
      <c r="C7" s="7" t="inlineStr">
        <is>
          <t>P56</t>
        </is>
      </c>
      <c r="D7" s="7" t="inlineStr">
        <is>
          <t>M</t>
        </is>
      </c>
      <c r="E7" s="7" t="inlineStr">
        <is>
          <t>326 OPC NN</t>
        </is>
      </c>
      <c r="F7" s="13" t="n">
        <v>545</v>
      </c>
      <c r="G7" s="8" t="n">
        <v>6.991018</v>
      </c>
      <c r="H7" s="8" t="n">
        <v>8.044312</v>
      </c>
      <c r="I7" s="14" t="n">
        <v>0.8568807339449541</v>
      </c>
    </row>
    <row r="8">
      <c r="A8" s="7" t="inlineStr">
        <is>
          <t>Snap25-IRES2-Cre;Ai14-459495</t>
        </is>
      </c>
      <c r="B8" s="7" t="inlineStr">
        <is>
          <t>adult</t>
        </is>
      </c>
      <c r="C8" s="7" t="inlineStr">
        <is>
          <t>P56</t>
        </is>
      </c>
      <c r="D8" s="7" t="inlineStr">
        <is>
          <t>F</t>
        </is>
      </c>
      <c r="E8" s="7" t="inlineStr">
        <is>
          <t>326 OPC NN</t>
        </is>
      </c>
      <c r="F8" s="13" t="n">
        <v>583</v>
      </c>
      <c r="G8" s="8" t="n">
        <v>6.455957</v>
      </c>
      <c r="H8" s="8" t="n">
        <v>7.6339283</v>
      </c>
      <c r="I8" s="14" t="n">
        <v>0.8181818181818182</v>
      </c>
    </row>
    <row r="9">
      <c r="A9" s="7" t="inlineStr">
        <is>
          <t>Snap25-IRES2-Cre;Ai14-462433</t>
        </is>
      </c>
      <c r="B9" s="7" t="inlineStr">
        <is>
          <t>adult</t>
        </is>
      </c>
      <c r="C9" s="7" t="inlineStr">
        <is>
          <t>P69</t>
        </is>
      </c>
      <c r="D9" s="7" t="inlineStr">
        <is>
          <t>M</t>
        </is>
      </c>
      <c r="E9" s="7" t="inlineStr">
        <is>
          <t>326 OPC NN</t>
        </is>
      </c>
      <c r="F9" s="13" t="n">
        <v>71</v>
      </c>
      <c r="G9" s="8" t="n">
        <v>6.933214</v>
      </c>
      <c r="H9" s="8" t="n">
        <v>7.786467</v>
      </c>
      <c r="I9" s="14" t="n">
        <v>0.8873239436619719</v>
      </c>
    </row>
    <row r="10">
      <c r="A10" s="7" t="inlineStr">
        <is>
          <t>Snap25-IRES2-Cre;Ai14-462434</t>
        </is>
      </c>
      <c r="B10" s="7" t="inlineStr">
        <is>
          <t>adult</t>
        </is>
      </c>
      <c r="C10" s="7" t="inlineStr">
        <is>
          <t>P69</t>
        </is>
      </c>
      <c r="D10" s="7" t="inlineStr">
        <is>
          <t>M</t>
        </is>
      </c>
      <c r="E10" s="7" t="inlineStr">
        <is>
          <t>326 OPC NN</t>
        </is>
      </c>
      <c r="F10" s="13" t="n">
        <v>480</v>
      </c>
      <c r="G10" s="8" t="n">
        <v>6.2374477</v>
      </c>
      <c r="H10" s="8" t="n">
        <v>7.563366</v>
      </c>
      <c r="I10" s="14" t="n">
        <v>0.7854166666666667</v>
      </c>
    </row>
    <row r="11">
      <c r="A11" s="7" t="inlineStr">
        <is>
          <t>Snap25-IRES2-Cre;Ai14-463942</t>
        </is>
      </c>
      <c r="B11" s="7" t="inlineStr">
        <is>
          <t>adult</t>
        </is>
      </c>
      <c r="C11" s="7" t="inlineStr">
        <is>
          <t>P56</t>
        </is>
      </c>
      <c r="D11" s="7" t="inlineStr">
        <is>
          <t>F</t>
        </is>
      </c>
      <c r="E11" s="7" t="inlineStr">
        <is>
          <t>326 OPC NN</t>
        </is>
      </c>
      <c r="F11" s="13" t="n">
        <v>743</v>
      </c>
      <c r="G11" s="8" t="n">
        <v>6.5958924</v>
      </c>
      <c r="H11" s="8" t="n">
        <v>7.624034</v>
      </c>
      <c r="I11" s="14" t="n">
        <v>0.8465679676985195</v>
      </c>
    </row>
    <row r="12">
      <c r="A12" s="7" t="inlineStr">
        <is>
          <t>Snap25-IRES2-Cre;Ai14-463943</t>
        </is>
      </c>
      <c r="B12" s="7" t="inlineStr">
        <is>
          <t>adult</t>
        </is>
      </c>
      <c r="C12" s="7" t="inlineStr">
        <is>
          <t>P56</t>
        </is>
      </c>
      <c r="D12" s="7" t="inlineStr">
        <is>
          <t>F</t>
        </is>
      </c>
      <c r="E12" s="7" t="inlineStr">
        <is>
          <t>326 OPC NN</t>
        </is>
      </c>
      <c r="F12" s="13" t="n">
        <v>268</v>
      </c>
      <c r="G12" s="8" t="n">
        <v>6.8692303</v>
      </c>
      <c r="H12" s="8" t="n">
        <v>7.9085865</v>
      </c>
      <c r="I12" s="14" t="n">
        <v>0.8507462686567164</v>
      </c>
    </row>
    <row r="13">
      <c r="A13" s="7" t="inlineStr">
        <is>
          <t>Snap25-IRES2-Cre;Ai14-464324</t>
        </is>
      </c>
      <c r="B13" s="7" t="inlineStr">
        <is>
          <t>adult</t>
        </is>
      </c>
      <c r="C13" s="7" t="inlineStr">
        <is>
          <t>P68</t>
        </is>
      </c>
      <c r="D13" s="7" t="inlineStr">
        <is>
          <t>M</t>
        </is>
      </c>
      <c r="E13" s="7" t="inlineStr">
        <is>
          <t>326 OPC NN</t>
        </is>
      </c>
      <c r="F13" s="13" t="n">
        <v>784</v>
      </c>
      <c r="G13" s="8" t="n">
        <v>6.3824306</v>
      </c>
      <c r="H13" s="8" t="n">
        <v>7.587737</v>
      </c>
      <c r="I13" s="14" t="n">
        <v>0.8125</v>
      </c>
    </row>
    <row r="14">
      <c r="A14" s="7" t="inlineStr">
        <is>
          <t>Snap25-IRES2-Cre;Ai14-464327</t>
        </is>
      </c>
      <c r="B14" s="7" t="inlineStr">
        <is>
          <t>adult</t>
        </is>
      </c>
      <c r="C14" s="7" t="inlineStr">
        <is>
          <t>P68</t>
        </is>
      </c>
      <c r="D14" s="7" t="inlineStr">
        <is>
          <t>F</t>
        </is>
      </c>
      <c r="E14" s="7" t="inlineStr">
        <is>
          <t>326 OPC NN</t>
        </is>
      </c>
      <c r="F14" s="13" t="n">
        <v>793</v>
      </c>
      <c r="G14" s="8" t="n">
        <v>6.0866795</v>
      </c>
      <c r="H14" s="8" t="n">
        <v>7.460508</v>
      </c>
      <c r="I14" s="14" t="n">
        <v>0.7780580075662042</v>
      </c>
    </row>
    <row r="15">
      <c r="A15" s="7" t="inlineStr">
        <is>
          <t>Snap25-IRES2-Cre;Ai14-464328</t>
        </is>
      </c>
      <c r="B15" s="7" t="inlineStr">
        <is>
          <t>adult</t>
        </is>
      </c>
      <c r="C15" s="7" t="inlineStr">
        <is>
          <t>P69</t>
        </is>
      </c>
      <c r="D15" s="7" t="inlineStr">
        <is>
          <t>F</t>
        </is>
      </c>
      <c r="E15" s="7" t="inlineStr">
        <is>
          <t>326 OPC NN</t>
        </is>
      </c>
      <c r="F15" s="13" t="n">
        <v>247</v>
      </c>
      <c r="G15" s="8" t="n">
        <v>7.1241307</v>
      </c>
      <c r="H15" s="8" t="n">
        <v>7.8766866</v>
      </c>
      <c r="I15" s="14" t="n">
        <v>0.8987854251012146</v>
      </c>
    </row>
    <row r="16">
      <c r="A16" s="7" t="inlineStr">
        <is>
          <t>Snap25-IRES2-Cre;Ai14-464754</t>
        </is>
      </c>
      <c r="B16" s="7" t="inlineStr">
        <is>
          <t>adult</t>
        </is>
      </c>
      <c r="C16" s="7" t="inlineStr">
        <is>
          <t>P67</t>
        </is>
      </c>
      <c r="D16" s="7" t="inlineStr">
        <is>
          <t>M</t>
        </is>
      </c>
      <c r="E16" s="7" t="inlineStr">
        <is>
          <t>326 OPC NN</t>
        </is>
      </c>
      <c r="F16" s="13" t="n">
        <v>369</v>
      </c>
      <c r="G16" s="8" t="n">
        <v>6.235635</v>
      </c>
      <c r="H16" s="8" t="n">
        <v>7.5236883</v>
      </c>
      <c r="I16" s="14" t="n">
        <v>0.8075880758807588</v>
      </c>
    </row>
    <row r="17">
      <c r="A17" s="7" t="inlineStr">
        <is>
          <t>Snap25-IRES2-Cre;Ai14-468425</t>
        </is>
      </c>
      <c r="B17" s="7" t="inlineStr">
        <is>
          <t>adult</t>
        </is>
      </c>
      <c r="C17" s="7" t="inlineStr">
        <is>
          <t>P62</t>
        </is>
      </c>
      <c r="D17" s="7" t="inlineStr">
        <is>
          <t>M</t>
        </is>
      </c>
      <c r="E17" s="7" t="inlineStr">
        <is>
          <t>326 OPC NN</t>
        </is>
      </c>
      <c r="F17" s="13" t="n">
        <v>19</v>
      </c>
      <c r="G17" s="8" t="n">
        <v>7.0166264</v>
      </c>
      <c r="H17" s="8" t="n">
        <v>7.5132227</v>
      </c>
      <c r="I17" s="14" t="n">
        <v>0.8947368421052632</v>
      </c>
    </row>
    <row r="18">
      <c r="A18" s="7" t="inlineStr">
        <is>
          <t>Snap25-IRES2-Cre;Ai14-469515</t>
        </is>
      </c>
      <c r="B18" s="7" t="inlineStr">
        <is>
          <t>adult</t>
        </is>
      </c>
      <c r="C18" s="7" t="inlineStr">
        <is>
          <t>P64</t>
        </is>
      </c>
      <c r="D18" s="7" t="inlineStr">
        <is>
          <t>M</t>
        </is>
      </c>
      <c r="E18" s="7" t="inlineStr">
        <is>
          <t>326 OPC NN</t>
        </is>
      </c>
      <c r="F18" s="13" t="n">
        <v>117</v>
      </c>
      <c r="G18" s="8" t="n">
        <v>7.188022</v>
      </c>
      <c r="H18" s="8" t="n">
        <v>8.021625</v>
      </c>
      <c r="I18" s="14" t="n">
        <v>0.8974358974358975</v>
      </c>
    </row>
    <row r="19">
      <c r="A19" s="7" t="inlineStr">
        <is>
          <t>Snap25-IRES2-Cre;Ai14-469518</t>
        </is>
      </c>
      <c r="B19" s="7" t="inlineStr">
        <is>
          <t>adult</t>
        </is>
      </c>
      <c r="C19" s="7" t="inlineStr">
        <is>
          <t>P58</t>
        </is>
      </c>
      <c r="D19" s="7" t="inlineStr">
        <is>
          <t>F</t>
        </is>
      </c>
      <c r="E19" s="7" t="inlineStr">
        <is>
          <t>326 OPC NN</t>
        </is>
      </c>
      <c r="F19" s="13" t="n">
        <v>48</v>
      </c>
      <c r="G19" s="8" t="n">
        <v>6.9987583</v>
      </c>
      <c r="H19" s="8" t="n">
        <v>7.8985415</v>
      </c>
      <c r="I19" s="14" t="n">
        <v>0.8541666666666666</v>
      </c>
    </row>
    <row r="20">
      <c r="A20" s="7" t="inlineStr">
        <is>
          <t>Snap25-IRES2-Cre;Ai14-473084</t>
        </is>
      </c>
      <c r="B20" s="7" t="inlineStr">
        <is>
          <t>adult</t>
        </is>
      </c>
      <c r="C20" s="7" t="inlineStr">
        <is>
          <t>P68</t>
        </is>
      </c>
      <c r="D20" s="7" t="inlineStr">
        <is>
          <t>F</t>
        </is>
      </c>
      <c r="E20" s="7" t="inlineStr">
        <is>
          <t>326 OPC NN</t>
        </is>
      </c>
      <c r="F20" s="13" t="n">
        <v>133</v>
      </c>
      <c r="G20" s="8" t="n">
        <v>6.619078</v>
      </c>
      <c r="H20" s="8" t="n">
        <v>7.7617464</v>
      </c>
      <c r="I20" s="14" t="n">
        <v>0.8345864661654135</v>
      </c>
    </row>
    <row r="21">
      <c r="A21" s="7" t="inlineStr">
        <is>
          <t>Snap25-IRES2-Cre;Ai14-473981</t>
        </is>
      </c>
      <c r="B21" s="7" t="inlineStr">
        <is>
          <t>adult</t>
        </is>
      </c>
      <c r="C21" s="7" t="inlineStr">
        <is>
          <t>9 wks</t>
        </is>
      </c>
      <c r="D21" s="7" t="inlineStr">
        <is>
          <t>M</t>
        </is>
      </c>
      <c r="E21" s="7" t="inlineStr">
        <is>
          <t>326 OPC NN</t>
        </is>
      </c>
      <c r="F21" s="13" t="n">
        <v>370</v>
      </c>
      <c r="G21" s="8" t="n">
        <v>5.641209</v>
      </c>
      <c r="H21" s="8" t="n">
        <v>7.36795</v>
      </c>
      <c r="I21" s="14" t="n">
        <v>0.7297297297297297</v>
      </c>
    </row>
    <row r="22">
      <c r="A22" s="7" t="inlineStr">
        <is>
          <t>Snap25-IRES2-Cre;Ai14-482568</t>
        </is>
      </c>
      <c r="B22" s="7" t="inlineStr">
        <is>
          <t>adult</t>
        </is>
      </c>
      <c r="C22" s="7" t="inlineStr">
        <is>
          <t>P56</t>
        </is>
      </c>
      <c r="D22" s="7" t="inlineStr">
        <is>
          <t>F</t>
        </is>
      </c>
      <c r="E22" s="7" t="inlineStr">
        <is>
          <t>326 OPC NN</t>
        </is>
      </c>
      <c r="F22" s="13" t="n">
        <v>303</v>
      </c>
      <c r="G22" s="8" t="n">
        <v>5.9143114</v>
      </c>
      <c r="H22" s="8" t="n">
        <v>7.539709</v>
      </c>
      <c r="I22" s="14" t="n">
        <v>0.7458745874587459</v>
      </c>
    </row>
    <row r="23">
      <c r="A23" s="7" t="inlineStr">
        <is>
          <t>Snap25-IRES2-Cre;Ai14-489429</t>
        </is>
      </c>
      <c r="B23" s="7" t="inlineStr">
        <is>
          <t>adult</t>
        </is>
      </c>
      <c r="C23" s="7" t="inlineStr">
        <is>
          <t>P53</t>
        </is>
      </c>
      <c r="D23" s="7" t="inlineStr">
        <is>
          <t>F</t>
        </is>
      </c>
      <c r="E23" s="7" t="inlineStr">
        <is>
          <t>326 OPC NN</t>
        </is>
      </c>
      <c r="F23" s="13" t="n">
        <v>456</v>
      </c>
      <c r="G23" s="8" t="n">
        <v>5.446766</v>
      </c>
      <c r="H23" s="8" t="n">
        <v>7.1820936</v>
      </c>
      <c r="I23" s="14" t="n">
        <v>0.7105263157894737</v>
      </c>
    </row>
    <row r="24">
      <c r="A24" s="7" t="inlineStr">
        <is>
          <t>Snap25-IRES2-Cre;Ai14-490936</t>
        </is>
      </c>
      <c r="B24" s="7" t="inlineStr">
        <is>
          <t>adult</t>
        </is>
      </c>
      <c r="C24" s="7" t="inlineStr">
        <is>
          <t>P56</t>
        </is>
      </c>
      <c r="D24" s="7" t="inlineStr">
        <is>
          <t>M</t>
        </is>
      </c>
      <c r="E24" s="7" t="inlineStr">
        <is>
          <t>326 OPC NN</t>
        </is>
      </c>
      <c r="F24" s="13" t="n">
        <v>171</v>
      </c>
      <c r="G24" s="8" t="n">
        <v>5.733226</v>
      </c>
      <c r="H24" s="8" t="n">
        <v>7.3313756</v>
      </c>
      <c r="I24" s="14" t="n">
        <v>0.7485380116959064</v>
      </c>
    </row>
    <row r="25">
      <c r="A25" s="7" t="inlineStr">
        <is>
          <t>Snap25-IRES2-Cre;Ai14-492080</t>
        </is>
      </c>
      <c r="B25" s="7" t="inlineStr">
        <is>
          <t>adult</t>
        </is>
      </c>
      <c r="C25" s="7" t="inlineStr">
        <is>
          <t>P56</t>
        </is>
      </c>
      <c r="D25" s="7" t="inlineStr">
        <is>
          <t>F</t>
        </is>
      </c>
      <c r="E25" s="7" t="inlineStr">
        <is>
          <t>326 OPC NN</t>
        </is>
      </c>
      <c r="F25" s="13" t="n">
        <v>187</v>
      </c>
      <c r="G25" s="8" t="n">
        <v>6.1336904</v>
      </c>
      <c r="H25" s="8" t="n">
        <v>7.471858</v>
      </c>
      <c r="I25" s="14" t="n">
        <v>0.786096256684492</v>
      </c>
    </row>
    <row r="26">
      <c r="A26" s="7" t="inlineStr">
        <is>
          <t>Snap25-IRES2-Cre;Ai14-499298</t>
        </is>
      </c>
      <c r="B26" s="7" t="inlineStr">
        <is>
          <t>adult</t>
        </is>
      </c>
      <c r="C26" s="7" t="inlineStr">
        <is>
          <t>P67</t>
        </is>
      </c>
      <c r="D26" s="7" t="inlineStr">
        <is>
          <t>F</t>
        </is>
      </c>
      <c r="E26" s="7" t="inlineStr">
        <is>
          <t>326 OPC NN</t>
        </is>
      </c>
      <c r="F26" s="13" t="n">
        <v>484</v>
      </c>
      <c r="G26" s="8" t="n">
        <v>5.9804196</v>
      </c>
      <c r="H26" s="8" t="n">
        <v>7.3820376</v>
      </c>
      <c r="I26" s="14" t="n">
        <v>0.7706611570247934</v>
      </c>
    </row>
    <row r="27">
      <c r="A27" s="7" t="inlineStr">
        <is>
          <t>Snap25-IRES2-Cre;Ai14-500027</t>
        </is>
      </c>
      <c r="B27" s="7" t="inlineStr">
        <is>
          <t>adult</t>
        </is>
      </c>
      <c r="C27" s="7" t="inlineStr">
        <is>
          <t>P67</t>
        </is>
      </c>
      <c r="D27" s="7" t="inlineStr">
        <is>
          <t>M</t>
        </is>
      </c>
      <c r="E27" s="7" t="inlineStr">
        <is>
          <t>326 OPC NN</t>
        </is>
      </c>
      <c r="F27" s="13" t="n">
        <v>367</v>
      </c>
      <c r="G27" s="8" t="n">
        <v>6.270626</v>
      </c>
      <c r="H27" s="8" t="n">
        <v>7.5504603</v>
      </c>
      <c r="I27" s="14" t="n">
        <v>0.8010899182561307</v>
      </c>
    </row>
    <row r="28">
      <c r="A28" s="7" t="inlineStr">
        <is>
          <t>Snap25-IRES2-Cre;Ai14-504230</t>
        </is>
      </c>
      <c r="B28" s="7" t="inlineStr">
        <is>
          <t>adult</t>
        </is>
      </c>
      <c r="C28" s="7" t="inlineStr">
        <is>
          <t>9 wks</t>
        </is>
      </c>
      <c r="D28" s="7" t="inlineStr">
        <is>
          <t>M</t>
        </is>
      </c>
      <c r="E28" s="7" t="inlineStr">
        <is>
          <t>326 OPC NN</t>
        </is>
      </c>
      <c r="F28" s="13" t="n">
        <v>202</v>
      </c>
      <c r="G28" s="8" t="n">
        <v>6.820859</v>
      </c>
      <c r="H28" s="8" t="n">
        <v>7.6571026</v>
      </c>
      <c r="I28" s="14" t="n">
        <v>0.8762376237623762</v>
      </c>
    </row>
    <row r="29">
      <c r="A29" s="7" t="inlineStr">
        <is>
          <t>Snap25-IRES2-Cre;Ai14-504535</t>
        </is>
      </c>
      <c r="B29" s="7" t="inlineStr">
        <is>
          <t>adult</t>
        </is>
      </c>
      <c r="C29" s="7" t="inlineStr">
        <is>
          <t>P67</t>
        </is>
      </c>
      <c r="D29" s="7" t="inlineStr">
        <is>
          <t>F</t>
        </is>
      </c>
      <c r="E29" s="7" t="inlineStr">
        <is>
          <t>326 OPC NN</t>
        </is>
      </c>
      <c r="F29" s="13" t="n">
        <v>161</v>
      </c>
      <c r="G29" s="8" t="n">
        <v>6.159606</v>
      </c>
      <c r="H29" s="8" t="n">
        <v>7.2443647</v>
      </c>
      <c r="I29" s="14" t="n">
        <v>0.8074534161490683</v>
      </c>
    </row>
    <row r="30">
      <c r="A30" s="7" t="inlineStr">
        <is>
          <t>Snap25-IRES2-Cre;Ai14-506920</t>
        </is>
      </c>
      <c r="B30" s="7" t="inlineStr">
        <is>
          <t>adult</t>
        </is>
      </c>
      <c r="C30" s="7" t="inlineStr">
        <is>
          <t>P59</t>
        </is>
      </c>
      <c r="D30" s="7" t="inlineStr">
        <is>
          <t>M</t>
        </is>
      </c>
      <c r="E30" s="7" t="inlineStr">
        <is>
          <t>326 OPC NN</t>
        </is>
      </c>
      <c r="F30" s="13" t="n">
        <v>476</v>
      </c>
      <c r="G30" s="8" t="n">
        <v>6.6957145</v>
      </c>
      <c r="H30" s="8" t="n">
        <v>7.734478</v>
      </c>
      <c r="I30" s="14" t="n">
        <v>0.8403361344537815</v>
      </c>
    </row>
    <row r="31">
      <c r="A31" s="7" t="inlineStr">
        <is>
          <t>Snap25-IRES2-Cre;Ai14-538745</t>
        </is>
      </c>
      <c r="B31" s="7" t="inlineStr">
        <is>
          <t>adult</t>
        </is>
      </c>
      <c r="C31" s="7" t="inlineStr">
        <is>
          <t>P57</t>
        </is>
      </c>
      <c r="D31" s="7" t="inlineStr">
        <is>
          <t>F</t>
        </is>
      </c>
      <c r="E31" s="7" t="inlineStr">
        <is>
          <t>326 OPC NN</t>
        </is>
      </c>
      <c r="F31" s="13" t="n">
        <v>2272</v>
      </c>
      <c r="G31" s="8" t="n">
        <v>7.318043</v>
      </c>
      <c r="H31" s="8" t="n">
        <v>8.013370999999999</v>
      </c>
      <c r="I31" s="14" t="n">
        <v>0.912411971830986</v>
      </c>
    </row>
    <row r="32">
      <c r="A32" s="7" t="inlineStr">
        <is>
          <t>Snap25-IRES2-Cre;Ai14-540565</t>
        </is>
      </c>
      <c r="B32" s="7" t="inlineStr">
        <is>
          <t>adult</t>
        </is>
      </c>
      <c r="C32" s="7" t="inlineStr">
        <is>
          <t>P54</t>
        </is>
      </c>
      <c r="D32" s="7" t="inlineStr">
        <is>
          <t>M</t>
        </is>
      </c>
      <c r="E32" s="7" t="inlineStr">
        <is>
          <t>326 OPC NN</t>
        </is>
      </c>
      <c r="F32" s="13" t="n">
        <v>2047</v>
      </c>
      <c r="G32" s="8" t="n">
        <v>7.282066</v>
      </c>
      <c r="H32" s="8" t="n">
        <v>8.002409</v>
      </c>
      <c r="I32" s="14" t="n">
        <v>0.9052271617000488</v>
      </c>
    </row>
    <row r="33">
      <c r="A33" s="7" t="inlineStr">
        <is>
          <t>Snap25-IRES2-Cre;Ai14-540566</t>
        </is>
      </c>
      <c r="B33" s="7" t="inlineStr">
        <is>
          <t>adult</t>
        </is>
      </c>
      <c r="C33" s="7" t="inlineStr">
        <is>
          <t>P61</t>
        </is>
      </c>
      <c r="D33" s="7" t="inlineStr">
        <is>
          <t>F</t>
        </is>
      </c>
      <c r="E33" s="7" t="inlineStr">
        <is>
          <t>326 OPC NN</t>
        </is>
      </c>
      <c r="F33" s="13" t="n">
        <v>314</v>
      </c>
      <c r="G33" s="8" t="n">
        <v>7.0621476</v>
      </c>
      <c r="H33" s="8" t="n">
        <v>7.859396</v>
      </c>
      <c r="I33" s="14" t="n">
        <v>0.8853503184713376</v>
      </c>
    </row>
    <row r="34">
      <c r="A34" s="7" t="inlineStr">
        <is>
          <t>Snap25-IRES2-Cre;Ai14-544400</t>
        </is>
      </c>
      <c r="B34" s="7" t="inlineStr">
        <is>
          <t>adult</t>
        </is>
      </c>
      <c r="C34" s="7" t="inlineStr">
        <is>
          <t>P58</t>
        </is>
      </c>
      <c r="D34" s="7" t="inlineStr">
        <is>
          <t>F</t>
        </is>
      </c>
      <c r="E34" s="7" t="inlineStr">
        <is>
          <t>326 OPC NN</t>
        </is>
      </c>
      <c r="F34" s="13" t="n">
        <v>1054</v>
      </c>
      <c r="G34" s="8" t="n">
        <v>6.637035</v>
      </c>
      <c r="H34" s="8" t="n">
        <v>7.645464</v>
      </c>
      <c r="I34" s="14" t="n">
        <v>0.8434535104364327</v>
      </c>
    </row>
    <row r="35">
      <c r="A35" s="7" t="inlineStr">
        <is>
          <t>Snap25-IRES2-Cre;Ai14-546762</t>
        </is>
      </c>
      <c r="B35" s="7" t="inlineStr">
        <is>
          <t>adult</t>
        </is>
      </c>
      <c r="C35" s="7" t="inlineStr">
        <is>
          <t>P55</t>
        </is>
      </c>
      <c r="D35" s="7" t="inlineStr">
        <is>
          <t>F</t>
        </is>
      </c>
      <c r="E35" s="7" t="inlineStr">
        <is>
          <t>326 OPC NN</t>
        </is>
      </c>
      <c r="F35" s="13" t="n">
        <v>357</v>
      </c>
      <c r="G35" s="8" t="n">
        <v>7.344141</v>
      </c>
      <c r="H35" s="8" t="n">
        <v>7.955587</v>
      </c>
      <c r="I35" s="14" t="n">
        <v>0.9159663865546218</v>
      </c>
    </row>
    <row r="36">
      <c r="A36" s="7" t="inlineStr">
        <is>
          <t>Snap25-IRES2-Cre;Ai14-546799</t>
        </is>
      </c>
      <c r="B36" s="7" t="inlineStr">
        <is>
          <t>adult</t>
        </is>
      </c>
      <c r="C36" s="7" t="inlineStr">
        <is>
          <t>P62</t>
        </is>
      </c>
      <c r="D36" s="7" t="inlineStr">
        <is>
          <t>M</t>
        </is>
      </c>
      <c r="E36" s="7" t="inlineStr">
        <is>
          <t>326 OPC NN</t>
        </is>
      </c>
      <c r="F36" s="13" t="n">
        <v>2165</v>
      </c>
      <c r="G36" s="8" t="n">
        <v>7.4253516</v>
      </c>
      <c r="H36" s="8" t="n">
        <v>8.141931</v>
      </c>
      <c r="I36" s="14" t="n">
        <v>0.9062355658198614</v>
      </c>
    </row>
    <row r="37">
      <c r="A37" s="7" t="inlineStr">
        <is>
          <t>Snap25-IRES2-Cre;Ai14-546812</t>
        </is>
      </c>
      <c r="B37" s="7" t="inlineStr">
        <is>
          <t>adult</t>
        </is>
      </c>
      <c r="C37" s="7" t="inlineStr">
        <is>
          <t>9 wks</t>
        </is>
      </c>
      <c r="D37" s="7" t="inlineStr">
        <is>
          <t>M</t>
        </is>
      </c>
      <c r="E37" s="7" t="inlineStr">
        <is>
          <t>326 OPC NN</t>
        </is>
      </c>
      <c r="F37" s="13" t="n">
        <v>938</v>
      </c>
      <c r="G37" s="8" t="n">
        <v>7.6778517</v>
      </c>
      <c r="H37" s="8" t="n">
        <v>8.184122</v>
      </c>
      <c r="I37" s="14" t="n">
        <v>0.9349680170575692</v>
      </c>
    </row>
    <row r="38">
      <c r="A38" s="7" t="inlineStr">
        <is>
          <t>Snap25-IRES2-Cre;Ai14-546813</t>
        </is>
      </c>
      <c r="B38" s="7" t="inlineStr">
        <is>
          <t>adult</t>
        </is>
      </c>
      <c r="C38" s="7" t="inlineStr">
        <is>
          <t>P69</t>
        </is>
      </c>
      <c r="D38" s="7" t="inlineStr">
        <is>
          <t>M</t>
        </is>
      </c>
      <c r="E38" s="7" t="inlineStr">
        <is>
          <t>326 OPC NN</t>
        </is>
      </c>
      <c r="F38" s="13" t="n">
        <v>1536</v>
      </c>
      <c r="G38" s="8" t="n">
        <v>7.357059</v>
      </c>
      <c r="H38" s="8" t="n">
        <v>7.998578</v>
      </c>
      <c r="I38" s="14" t="n">
        <v>0.9153645833333334</v>
      </c>
    </row>
    <row r="39">
      <c r="A39" s="7" t="inlineStr">
        <is>
          <t>Snap25-IRES2-Cre;Ai14-548212</t>
        </is>
      </c>
      <c r="B39" s="7" t="inlineStr">
        <is>
          <t>adult</t>
        </is>
      </c>
      <c r="C39" s="7" t="inlineStr">
        <is>
          <t>P69</t>
        </is>
      </c>
      <c r="D39" s="7" t="inlineStr">
        <is>
          <t>F</t>
        </is>
      </c>
      <c r="E39" s="7" t="inlineStr">
        <is>
          <t>326 OPC NN</t>
        </is>
      </c>
      <c r="F39" s="13" t="n">
        <v>1491</v>
      </c>
      <c r="G39" s="8" t="n">
        <v>7.473167</v>
      </c>
      <c r="H39" s="8" t="n">
        <v>8.102259</v>
      </c>
      <c r="I39" s="14" t="n">
        <v>0.9221998658618376</v>
      </c>
    </row>
    <row r="40">
      <c r="A40" s="7" t="inlineStr">
        <is>
          <t>Snap25-IRES2-Cre;Ai14-549927</t>
        </is>
      </c>
      <c r="B40" s="7" t="inlineStr">
        <is>
          <t>adult</t>
        </is>
      </c>
      <c r="C40" s="7" t="inlineStr">
        <is>
          <t>P58</t>
        </is>
      </c>
      <c r="D40" s="7" t="inlineStr">
        <is>
          <t>M</t>
        </is>
      </c>
      <c r="E40" s="7" t="inlineStr">
        <is>
          <t>326 OPC NN</t>
        </is>
      </c>
      <c r="F40" s="13" t="n">
        <v>717</v>
      </c>
      <c r="G40" s="8" t="n">
        <v>7.2753816</v>
      </c>
      <c r="H40" s="8" t="n">
        <v>7.8764625</v>
      </c>
      <c r="I40" s="14" t="n">
        <v>0.9107391910739192</v>
      </c>
    </row>
    <row r="41">
      <c r="A41" s="7" t="inlineStr">
        <is>
          <t>Snap25-IRES2-Cre;Ai14-549928</t>
        </is>
      </c>
      <c r="B41" s="7" t="inlineStr">
        <is>
          <t>adult</t>
        </is>
      </c>
      <c r="C41" s="7" t="inlineStr">
        <is>
          <t>P58</t>
        </is>
      </c>
      <c r="D41" s="7" t="inlineStr">
        <is>
          <t>M</t>
        </is>
      </c>
      <c r="E41" s="7" t="inlineStr">
        <is>
          <t>326 OPC NN</t>
        </is>
      </c>
      <c r="F41" s="13" t="n">
        <v>836</v>
      </c>
      <c r="G41" s="8" t="n">
        <v>7.541143</v>
      </c>
      <c r="H41" s="8" t="n">
        <v>8.150980000000001</v>
      </c>
      <c r="I41" s="14" t="n">
        <v>0.9258373205741628</v>
      </c>
    </row>
    <row r="42">
      <c r="A42" s="7" t="inlineStr">
        <is>
          <t>Snap25-IRES2-Cre;Ai14-550468</t>
        </is>
      </c>
      <c r="B42" s="7" t="inlineStr">
        <is>
          <t>adult</t>
        </is>
      </c>
      <c r="C42" s="7" t="inlineStr">
        <is>
          <t>P69</t>
        </is>
      </c>
      <c r="D42" s="7" t="inlineStr">
        <is>
          <t>F</t>
        </is>
      </c>
      <c r="E42" s="7" t="inlineStr">
        <is>
          <t>326 OPC NN</t>
        </is>
      </c>
      <c r="F42" s="13" t="n">
        <v>486</v>
      </c>
      <c r="G42" s="8" t="n">
        <v>6.1828575</v>
      </c>
      <c r="H42" s="8" t="n">
        <v>7.3588376</v>
      </c>
      <c r="I42" s="14" t="n">
        <v>0.8127572016460906</v>
      </c>
    </row>
    <row r="43">
      <c r="A43" s="7" t="inlineStr">
        <is>
          <t>Snap25-IRES2-Cre;Ai14-550848</t>
        </is>
      </c>
      <c r="B43" s="7" t="inlineStr">
        <is>
          <t>adult</t>
        </is>
      </c>
      <c r="C43" s="7" t="inlineStr">
        <is>
          <t>P59</t>
        </is>
      </c>
      <c r="D43" s="7" t="inlineStr">
        <is>
          <t>M</t>
        </is>
      </c>
      <c r="E43" s="7" t="inlineStr">
        <is>
          <t>326 OPC NN</t>
        </is>
      </c>
      <c r="F43" s="13" t="n">
        <v>729</v>
      </c>
      <c r="G43" s="8" t="n">
        <v>7.046025</v>
      </c>
      <c r="H43" s="8" t="n">
        <v>7.8442225</v>
      </c>
      <c r="I43" s="14" t="n">
        <v>0.8943758573388203</v>
      </c>
    </row>
    <row r="44">
      <c r="A44" s="7" t="inlineStr">
        <is>
          <t>Snap25-IRES2-Cre;Ai14-550850</t>
        </is>
      </c>
      <c r="B44" s="7" t="inlineStr">
        <is>
          <t>adult</t>
        </is>
      </c>
      <c r="C44" s="7" t="inlineStr">
        <is>
          <t>P53</t>
        </is>
      </c>
      <c r="D44" s="7" t="inlineStr">
        <is>
          <t>F</t>
        </is>
      </c>
      <c r="E44" s="7" t="inlineStr">
        <is>
          <t>326 OPC NN</t>
        </is>
      </c>
      <c r="F44" s="13" t="n">
        <v>656</v>
      </c>
      <c r="G44" s="8" t="n">
        <v>7.1099286</v>
      </c>
      <c r="H44" s="8" t="n">
        <v>7.991503</v>
      </c>
      <c r="I44" s="14" t="n">
        <v>0.8810975609756098</v>
      </c>
    </row>
    <row r="45">
      <c r="A45" s="7" t="inlineStr">
        <is>
          <t>Snap25-IRES2-Cre;Ai14-551016</t>
        </is>
      </c>
      <c r="B45" s="7" t="inlineStr">
        <is>
          <t>adult</t>
        </is>
      </c>
      <c r="C45" s="7" t="inlineStr">
        <is>
          <t>P59</t>
        </is>
      </c>
      <c r="D45" s="7" t="inlineStr">
        <is>
          <t>M</t>
        </is>
      </c>
      <c r="E45" s="7" t="inlineStr">
        <is>
          <t>326 OPC NN</t>
        </is>
      </c>
      <c r="F45" s="13" t="n">
        <v>1314</v>
      </c>
      <c r="G45" s="8" t="n">
        <v>7.263733</v>
      </c>
      <c r="H45" s="8" t="n">
        <v>7.982908</v>
      </c>
      <c r="I45" s="14" t="n">
        <v>0.9033485540334856</v>
      </c>
    </row>
    <row r="46">
      <c r="A46" s="7" t="inlineStr">
        <is>
          <t>Snap25-IRES2-Cre;Ai14-551628</t>
        </is>
      </c>
      <c r="B46" s="7" t="inlineStr">
        <is>
          <t>adult</t>
        </is>
      </c>
      <c r="C46" s="7" t="inlineStr">
        <is>
          <t>P62</t>
        </is>
      </c>
      <c r="D46" s="7" t="inlineStr">
        <is>
          <t>M</t>
        </is>
      </c>
      <c r="E46" s="7" t="inlineStr">
        <is>
          <t>326 OPC NN</t>
        </is>
      </c>
      <c r="F46" s="13" t="n">
        <v>1245</v>
      </c>
      <c r="G46" s="8" t="n">
        <v>6.6125393</v>
      </c>
      <c r="H46" s="8" t="n">
        <v>7.5224633</v>
      </c>
      <c r="I46" s="14" t="n">
        <v>0.8602409638554217</v>
      </c>
    </row>
    <row r="47">
      <c r="A47" s="7" t="inlineStr">
        <is>
          <t>Snap25-IRES2-Cre;Ai14-551629</t>
        </is>
      </c>
      <c r="B47" s="7" t="inlineStr">
        <is>
          <t>adult</t>
        </is>
      </c>
      <c r="C47" s="7" t="inlineStr">
        <is>
          <t>P61</t>
        </is>
      </c>
      <c r="D47" s="7" t="inlineStr">
        <is>
          <t>F</t>
        </is>
      </c>
      <c r="E47" s="7" t="inlineStr">
        <is>
          <t>326 OPC NN</t>
        </is>
      </c>
      <c r="F47" s="13" t="n">
        <v>1709</v>
      </c>
      <c r="G47" s="8" t="n">
        <v>7.2173076</v>
      </c>
      <c r="H47" s="8" t="n">
        <v>7.932301</v>
      </c>
      <c r="I47" s="14" t="n">
        <v>0.906377998829725</v>
      </c>
    </row>
    <row r="48">
      <c r="A48" s="7" t="inlineStr">
        <is>
          <t>Snap25-IRES2-Cre;Ai14-553672</t>
        </is>
      </c>
      <c r="B48" s="7" t="inlineStr">
        <is>
          <t>adult</t>
        </is>
      </c>
      <c r="C48" s="7" t="inlineStr">
        <is>
          <t>P55</t>
        </is>
      </c>
      <c r="D48" s="7" t="inlineStr">
        <is>
          <t>M</t>
        </is>
      </c>
      <c r="E48" s="7" t="inlineStr">
        <is>
          <t>326 OPC NN</t>
        </is>
      </c>
      <c r="F48" s="13" t="n">
        <v>406</v>
      </c>
      <c r="G48" s="8" t="n">
        <v>6.8158574</v>
      </c>
      <c r="H48" s="8" t="n">
        <v>7.5302753</v>
      </c>
      <c r="I48" s="14" t="n">
        <v>0.8891625615763546</v>
      </c>
    </row>
    <row r="49">
      <c r="A49" s="7" t="inlineStr">
        <is>
          <t>Snap25-IRES2-Cre;Ai14-553676</t>
        </is>
      </c>
      <c r="B49" s="7" t="inlineStr">
        <is>
          <t>adult</t>
        </is>
      </c>
      <c r="C49" s="7" t="inlineStr">
        <is>
          <t>P54</t>
        </is>
      </c>
      <c r="D49" s="7" t="inlineStr">
        <is>
          <t>F</t>
        </is>
      </c>
      <c r="E49" s="7" t="inlineStr">
        <is>
          <t>326 OPC NN</t>
        </is>
      </c>
      <c r="F49" s="13" t="n">
        <v>1063</v>
      </c>
      <c r="G49" s="8" t="n">
        <v>6.607309</v>
      </c>
      <c r="H49" s="8" t="n">
        <v>7.545386</v>
      </c>
      <c r="I49" s="14" t="n">
        <v>0.8588899341486359</v>
      </c>
    </row>
    <row r="50">
      <c r="A50" s="7" t="inlineStr">
        <is>
          <t>Snap25-IRES2-Cre;Ai14-553679</t>
        </is>
      </c>
      <c r="B50" s="7" t="inlineStr">
        <is>
          <t>adult</t>
        </is>
      </c>
      <c r="C50" s="7" t="inlineStr">
        <is>
          <t>P59</t>
        </is>
      </c>
      <c r="D50" s="7" t="inlineStr">
        <is>
          <t>M</t>
        </is>
      </c>
      <c r="E50" s="7" t="inlineStr">
        <is>
          <t>326 OPC NN</t>
        </is>
      </c>
      <c r="F50" s="13" t="n">
        <v>189</v>
      </c>
      <c r="G50" s="8" t="n">
        <v>7.5165195</v>
      </c>
      <c r="H50" s="8" t="n">
        <v>8.184156</v>
      </c>
      <c r="I50" s="14" t="n">
        <v>0.9206349206349206</v>
      </c>
    </row>
    <row r="51">
      <c r="A51" s="7" t="inlineStr">
        <is>
          <t>Snap25-IRES2-Cre;Ai14-554815</t>
        </is>
      </c>
      <c r="B51" s="7" t="inlineStr">
        <is>
          <t>adult</t>
        </is>
      </c>
      <c r="C51" s="7" t="inlineStr">
        <is>
          <t>P54</t>
        </is>
      </c>
      <c r="D51" s="7" t="inlineStr">
        <is>
          <t>F</t>
        </is>
      </c>
      <c r="E51" s="7" t="inlineStr">
        <is>
          <t>326 OPC NN</t>
        </is>
      </c>
      <c r="F51" s="13" t="n">
        <v>376</v>
      </c>
      <c r="G51" s="8" t="n">
        <v>7.355686</v>
      </c>
      <c r="H51" s="8" t="n">
        <v>7.9846888</v>
      </c>
      <c r="I51" s="14" t="n">
        <v>0.9175531914893617</v>
      </c>
    </row>
    <row r="52">
      <c r="A52" s="7" t="inlineStr">
        <is>
          <t>Snap25-IRES2-Cre;Ai14-604611</t>
        </is>
      </c>
      <c r="B52" s="7" t="inlineStr">
        <is>
          <t>adult</t>
        </is>
      </c>
      <c r="C52" s="7" t="inlineStr">
        <is>
          <t>P64</t>
        </is>
      </c>
      <c r="D52" s="7" t="inlineStr">
        <is>
          <t>F</t>
        </is>
      </c>
      <c r="E52" s="7" t="inlineStr">
        <is>
          <t>326 OPC NN</t>
        </is>
      </c>
      <c r="F52" s="13" t="n">
        <v>386</v>
      </c>
      <c r="G52" s="8" t="n">
        <v>6.75719</v>
      </c>
      <c r="H52" s="8" t="n">
        <v>7.7408843</v>
      </c>
      <c r="I52" s="14" t="n">
        <v>0.8601036269430051</v>
      </c>
    </row>
    <row r="53">
      <c r="A53" s="7" t="inlineStr">
        <is>
          <t>Snap25-IRES2-Cre;Ai14-606115</t>
        </is>
      </c>
      <c r="B53" s="7" t="inlineStr">
        <is>
          <t>adult</t>
        </is>
      </c>
      <c r="C53" s="7" t="inlineStr">
        <is>
          <t>P61</t>
        </is>
      </c>
      <c r="D53" s="7" t="inlineStr">
        <is>
          <t>M</t>
        </is>
      </c>
      <c r="E53" s="7" t="inlineStr">
        <is>
          <t>326 OPC NN</t>
        </is>
      </c>
      <c r="F53" s="13" t="n">
        <v>251</v>
      </c>
      <c r="G53" s="8" t="n">
        <v>7.1517763</v>
      </c>
      <c r="H53" s="8" t="n">
        <v>7.772646</v>
      </c>
      <c r="I53" s="14" t="n">
        <v>0.9123505976095616</v>
      </c>
    </row>
    <row r="54">
      <c r="A54" s="7" t="inlineStr">
        <is>
          <t>Snap25-IRES2-Cre;Ai14-608855</t>
        </is>
      </c>
      <c r="B54" s="7" t="inlineStr">
        <is>
          <t>adult</t>
        </is>
      </c>
      <c r="C54" s="7" t="inlineStr">
        <is>
          <t>P69</t>
        </is>
      </c>
      <c r="D54" s="7" t="inlineStr">
        <is>
          <t>M</t>
        </is>
      </c>
      <c r="E54" s="7" t="inlineStr">
        <is>
          <t>326 OPC NN</t>
        </is>
      </c>
      <c r="F54" s="13" t="n">
        <v>543</v>
      </c>
      <c r="G54" s="8" t="n">
        <v>5.987583</v>
      </c>
      <c r="H54" s="8" t="n">
        <v>7.3803983</v>
      </c>
      <c r="I54" s="14" t="n">
        <v>0.7753222836095764</v>
      </c>
    </row>
    <row r="55">
      <c r="A55" s="7" t="inlineStr">
        <is>
          <t>Snap25-IRES2-Cre;Ai14-618176</t>
        </is>
      </c>
      <c r="B55" s="7" t="inlineStr">
        <is>
          <t>adult</t>
        </is>
      </c>
      <c r="C55" s="7" t="inlineStr">
        <is>
          <t>P65</t>
        </is>
      </c>
      <c r="D55" s="7" t="inlineStr">
        <is>
          <t>M</t>
        </is>
      </c>
      <c r="E55" s="7" t="inlineStr">
        <is>
          <t>326 OPC NN</t>
        </is>
      </c>
      <c r="F55" s="13" t="n">
        <v>74</v>
      </c>
      <c r="G55" s="8" t="n">
        <v>6.9549084</v>
      </c>
      <c r="H55" s="8" t="n">
        <v>7.4922237</v>
      </c>
      <c r="I55" s="14" t="n">
        <v>0.9054054054054054</v>
      </c>
    </row>
    <row r="56">
      <c r="A56" s="7" t="inlineStr">
        <is>
          <t>Snap25-IRES2-Cre;Ai14-619870</t>
        </is>
      </c>
      <c r="B56" s="7" t="inlineStr">
        <is>
          <t>adult</t>
        </is>
      </c>
      <c r="C56" s="7" t="inlineStr">
        <is>
          <t>P60</t>
        </is>
      </c>
      <c r="D56" s="7" t="inlineStr">
        <is>
          <t>F</t>
        </is>
      </c>
      <c r="E56" s="7" t="inlineStr">
        <is>
          <t>326 OPC NN</t>
        </is>
      </c>
      <c r="F56" s="13" t="n">
        <v>637</v>
      </c>
      <c r="G56" s="8" t="n">
        <v>7.074086</v>
      </c>
      <c r="H56" s="8" t="n">
        <v>8.051701</v>
      </c>
      <c r="I56" s="14" t="n">
        <v>0.8681318681318682</v>
      </c>
    </row>
    <row r="57">
      <c r="A57" s="7" t="inlineStr">
        <is>
          <t>Snap25-IRES2-Cre;Ai14-621471</t>
        </is>
      </c>
      <c r="B57" s="7" t="inlineStr">
        <is>
          <t>adult</t>
        </is>
      </c>
      <c r="C57" s="7" t="inlineStr">
        <is>
          <t>P66</t>
        </is>
      </c>
      <c r="D57" s="7" t="inlineStr">
        <is>
          <t>F</t>
        </is>
      </c>
      <c r="E57" s="7" t="inlineStr">
        <is>
          <t>326 OPC NN</t>
        </is>
      </c>
      <c r="F57" s="13" t="n">
        <v>31</v>
      </c>
      <c r="G57" s="8" t="n">
        <v>8.170709</v>
      </c>
      <c r="H57" s="8" t="n">
        <v>8.407175000000001</v>
      </c>
      <c r="I57" s="14" t="n">
        <v>1</v>
      </c>
    </row>
    <row r="58">
      <c r="A58" s="7" t="inlineStr">
        <is>
          <t>C57BL/6J-592557</t>
        </is>
      </c>
      <c r="B58" s="7" t="inlineStr">
        <is>
          <t>aged</t>
        </is>
      </c>
      <c r="C58" s="7" t="inlineStr">
        <is>
          <t>18M</t>
        </is>
      </c>
      <c r="D58" s="7" t="inlineStr">
        <is>
          <t>M</t>
        </is>
      </c>
      <c r="E58" s="7" t="inlineStr">
        <is>
          <t>326 OPC NN</t>
        </is>
      </c>
      <c r="F58" s="13" t="n">
        <v>96</v>
      </c>
      <c r="G58" s="8" t="n">
        <v>5.1144867</v>
      </c>
      <c r="H58" s="8" t="n">
        <v>7.2502117</v>
      </c>
      <c r="I58" s="14" t="n">
        <v>0.65625</v>
      </c>
    </row>
    <row r="59">
      <c r="A59" s="7" t="inlineStr">
        <is>
          <t>C57BL/6J-592558</t>
        </is>
      </c>
      <c r="B59" s="7" t="inlineStr">
        <is>
          <t>aged</t>
        </is>
      </c>
      <c r="C59" s="7" t="inlineStr">
        <is>
          <t>18M</t>
        </is>
      </c>
      <c r="D59" s="7" t="inlineStr">
        <is>
          <t>F</t>
        </is>
      </c>
      <c r="E59" s="7" t="inlineStr">
        <is>
          <t>326 OPC NN</t>
        </is>
      </c>
      <c r="F59" s="13" t="n">
        <v>268</v>
      </c>
      <c r="G59" s="8" t="n">
        <v>7.4158783</v>
      </c>
      <c r="H59" s="8" t="n">
        <v>7.9305325</v>
      </c>
      <c r="I59" s="14" t="n">
        <v>0.9365671641791044</v>
      </c>
    </row>
    <row r="60">
      <c r="A60" s="7" t="inlineStr">
        <is>
          <t>Snap25-IRES2-Cre;Ai14-443008</t>
        </is>
      </c>
      <c r="B60" s="7" t="inlineStr">
        <is>
          <t>aged</t>
        </is>
      </c>
      <c r="C60" s="7" t="inlineStr">
        <is>
          <t>P549</t>
        </is>
      </c>
      <c r="D60" s="7" t="inlineStr">
        <is>
          <t>F</t>
        </is>
      </c>
      <c r="E60" s="7" t="inlineStr">
        <is>
          <t>326 OPC NN</t>
        </is>
      </c>
      <c r="F60" s="13" t="n">
        <v>473</v>
      </c>
      <c r="G60" s="8" t="n">
        <v>6.999229</v>
      </c>
      <c r="H60" s="8" t="n">
        <v>7.9701076</v>
      </c>
      <c r="I60" s="14" t="n">
        <v>0.8625792811839323</v>
      </c>
    </row>
    <row r="61">
      <c r="A61" s="7" t="inlineStr">
        <is>
          <t>Snap25-IRES2-Cre;Ai14-450091</t>
        </is>
      </c>
      <c r="B61" s="7" t="inlineStr">
        <is>
          <t>aged</t>
        </is>
      </c>
      <c r="C61" s="7" t="inlineStr">
        <is>
          <t>P547</t>
        </is>
      </c>
      <c r="D61" s="7" t="inlineStr">
        <is>
          <t>F</t>
        </is>
      </c>
      <c r="E61" s="7" t="inlineStr">
        <is>
          <t>326 OPC NN</t>
        </is>
      </c>
      <c r="F61" s="13" t="n">
        <v>1331</v>
      </c>
      <c r="G61" s="8" t="n">
        <v>7.4029117</v>
      </c>
      <c r="H61" s="8" t="n">
        <v>8.011799999999999</v>
      </c>
      <c r="I61" s="14" t="n">
        <v>0.9158527422990232</v>
      </c>
    </row>
    <row r="62">
      <c r="A62" s="7" t="inlineStr">
        <is>
          <t>Snap25-IRES2-Cre;Ai14-451986</t>
        </is>
      </c>
      <c r="B62" s="7" t="inlineStr">
        <is>
          <t>aged</t>
        </is>
      </c>
      <c r="C62" s="7" t="inlineStr">
        <is>
          <t>P540</t>
        </is>
      </c>
      <c r="D62" s="7" t="inlineStr">
        <is>
          <t>F</t>
        </is>
      </c>
      <c r="E62" s="7" t="inlineStr">
        <is>
          <t>326 OPC NN</t>
        </is>
      </c>
      <c r="F62" s="13" t="n">
        <v>673</v>
      </c>
      <c r="G62" s="8" t="n">
        <v>7.3169026</v>
      </c>
      <c r="H62" s="8" t="n">
        <v>7.910822</v>
      </c>
      <c r="I62" s="14" t="n">
        <v>0.9301634472511144</v>
      </c>
    </row>
    <row r="63">
      <c r="A63" s="7" t="inlineStr">
        <is>
          <t>Snap25-IRES2-Cre;Ai14-452095</t>
        </is>
      </c>
      <c r="B63" s="7" t="inlineStr">
        <is>
          <t>aged</t>
        </is>
      </c>
      <c r="C63" s="7" t="inlineStr">
        <is>
          <t>P540</t>
        </is>
      </c>
      <c r="D63" s="7" t="inlineStr">
        <is>
          <t>F</t>
        </is>
      </c>
      <c r="E63" s="7" t="inlineStr">
        <is>
          <t>326 OPC NN</t>
        </is>
      </c>
      <c r="F63" s="13" t="n">
        <v>1625</v>
      </c>
      <c r="G63" s="8" t="n">
        <v>6.4197435</v>
      </c>
      <c r="H63" s="8" t="n">
        <v>7.496636</v>
      </c>
      <c r="I63" s="14" t="n">
        <v>0.832</v>
      </c>
    </row>
    <row r="64">
      <c r="A64" s="7" t="inlineStr">
        <is>
          <t>Snap25-IRES2-Cre;Ai14-452096</t>
        </is>
      </c>
      <c r="B64" s="7" t="inlineStr">
        <is>
          <t>aged</t>
        </is>
      </c>
      <c r="C64" s="7" t="inlineStr">
        <is>
          <t>P540</t>
        </is>
      </c>
      <c r="D64" s="7" t="inlineStr">
        <is>
          <t>F</t>
        </is>
      </c>
      <c r="E64" s="7" t="inlineStr">
        <is>
          <t>326 OPC NN</t>
        </is>
      </c>
      <c r="F64" s="13" t="n">
        <v>570</v>
      </c>
      <c r="G64" s="8" t="n">
        <v>7.0300436</v>
      </c>
      <c r="H64" s="8" t="n">
        <v>7.9509945</v>
      </c>
      <c r="I64" s="14" t="n">
        <v>0.875438596491228</v>
      </c>
    </row>
    <row r="65">
      <c r="A65" s="7" t="inlineStr">
        <is>
          <t>Snap25-IRES2-Cre;Ai14-452709</t>
        </is>
      </c>
      <c r="B65" s="7" t="inlineStr">
        <is>
          <t>aged</t>
        </is>
      </c>
      <c r="C65" s="7" t="inlineStr">
        <is>
          <t>P550</t>
        </is>
      </c>
      <c r="D65" s="7" t="inlineStr">
        <is>
          <t>M</t>
        </is>
      </c>
      <c r="E65" s="7" t="inlineStr">
        <is>
          <t>326 OPC NN</t>
        </is>
      </c>
      <c r="F65" s="13" t="n">
        <v>2039</v>
      </c>
      <c r="G65" s="8" t="n">
        <v>7.0683208</v>
      </c>
      <c r="H65" s="8" t="n">
        <v>7.88444</v>
      </c>
      <c r="I65" s="14" t="n">
        <v>0.8867091711623345</v>
      </c>
    </row>
    <row r="66">
      <c r="A66" s="7" t="inlineStr">
        <is>
          <t>Snap25-IRES2-Cre;Ai14-452710</t>
        </is>
      </c>
      <c r="B66" s="7" t="inlineStr">
        <is>
          <t>aged</t>
        </is>
      </c>
      <c r="C66" s="7" t="inlineStr">
        <is>
          <t>P543</t>
        </is>
      </c>
      <c r="D66" s="7" t="inlineStr">
        <is>
          <t>M</t>
        </is>
      </c>
      <c r="E66" s="7" t="inlineStr">
        <is>
          <t>326 OPC NN</t>
        </is>
      </c>
      <c r="F66" s="13" t="n">
        <v>1434</v>
      </c>
      <c r="G66" s="8" t="n">
        <v>7.4791584</v>
      </c>
      <c r="H66" s="8" t="n">
        <v>8.022741</v>
      </c>
      <c r="I66" s="14" t="n">
        <v>0.9302649930264992</v>
      </c>
    </row>
    <row r="67">
      <c r="A67" s="7" t="inlineStr">
        <is>
          <t>Snap25-IRES2-Cre;Ai14-452711</t>
        </is>
      </c>
      <c r="B67" s="7" t="inlineStr">
        <is>
          <t>aged</t>
        </is>
      </c>
      <c r="C67" s="7" t="inlineStr">
        <is>
          <t>P542</t>
        </is>
      </c>
      <c r="D67" s="7" t="inlineStr">
        <is>
          <t>M</t>
        </is>
      </c>
      <c r="E67" s="7" t="inlineStr">
        <is>
          <t>326 OPC NN</t>
        </is>
      </c>
      <c r="F67" s="13" t="n">
        <v>1999</v>
      </c>
      <c r="G67" s="8" t="n">
        <v>7.188671</v>
      </c>
      <c r="H67" s="8" t="n">
        <v>7.940978</v>
      </c>
      <c r="I67" s="14" t="n">
        <v>0.8994497248624312</v>
      </c>
    </row>
    <row r="68">
      <c r="A68" s="7" t="inlineStr">
        <is>
          <t>Snap25-IRES2-Cre;Ai14-452712</t>
        </is>
      </c>
      <c r="B68" s="7" t="inlineStr">
        <is>
          <t>aged</t>
        </is>
      </c>
      <c r="C68" s="7" t="inlineStr">
        <is>
          <t>P542</t>
        </is>
      </c>
      <c r="D68" s="7" t="inlineStr">
        <is>
          <t>M</t>
        </is>
      </c>
      <c r="E68" s="7" t="inlineStr">
        <is>
          <t>326 OPC NN</t>
        </is>
      </c>
      <c r="F68" s="13" t="n">
        <v>1575</v>
      </c>
      <c r="G68" s="8" t="n">
        <v>7.2763314</v>
      </c>
      <c r="H68" s="8" t="n">
        <v>7.959381</v>
      </c>
      <c r="I68" s="14" t="n">
        <v>0.9073015873015872</v>
      </c>
    </row>
    <row r="69">
      <c r="A69" s="7" t="inlineStr">
        <is>
          <t>Snap25-IRES2-Cre;Ai14-452714</t>
        </is>
      </c>
      <c r="B69" s="7" t="inlineStr">
        <is>
          <t>aged</t>
        </is>
      </c>
      <c r="C69" s="7" t="inlineStr">
        <is>
          <t>P542</t>
        </is>
      </c>
      <c r="D69" s="7" t="inlineStr">
        <is>
          <t>M</t>
        </is>
      </c>
      <c r="E69" s="7" t="inlineStr">
        <is>
          <t>326 OPC NN</t>
        </is>
      </c>
      <c r="F69" s="13" t="n">
        <v>855</v>
      </c>
      <c r="G69" s="8" t="n">
        <v>7.5989413</v>
      </c>
      <c r="H69" s="8" t="n">
        <v>8.081452000000001</v>
      </c>
      <c r="I69" s="14" t="n">
        <v>0.9380116959064329</v>
      </c>
    </row>
    <row r="70">
      <c r="A70" s="7" t="inlineStr">
        <is>
          <t>Snap25-IRES2-Cre;Ai14-452716</t>
        </is>
      </c>
      <c r="B70" s="7" t="inlineStr">
        <is>
          <t>aged</t>
        </is>
      </c>
      <c r="C70" s="7" t="inlineStr">
        <is>
          <t>P543</t>
        </is>
      </c>
      <c r="D70" s="7" t="inlineStr">
        <is>
          <t>F</t>
        </is>
      </c>
      <c r="E70" s="7" t="inlineStr">
        <is>
          <t>326 OPC NN</t>
        </is>
      </c>
      <c r="F70" s="13" t="n">
        <v>901</v>
      </c>
      <c r="G70" s="8" t="n">
        <v>7.0727105</v>
      </c>
      <c r="H70" s="8" t="n">
        <v>7.762212</v>
      </c>
      <c r="I70" s="14" t="n">
        <v>0.9123196448390676</v>
      </c>
    </row>
    <row r="71">
      <c r="A71" s="7" t="inlineStr">
        <is>
          <t>Snap25-IRES2-Cre;Ai14-452717</t>
        </is>
      </c>
      <c r="B71" s="7" t="inlineStr">
        <is>
          <t>aged</t>
        </is>
      </c>
      <c r="C71" s="7" t="inlineStr">
        <is>
          <t>P549</t>
        </is>
      </c>
      <c r="D71" s="7" t="inlineStr">
        <is>
          <t>F</t>
        </is>
      </c>
      <c r="E71" s="7" t="inlineStr">
        <is>
          <t>326 OPC NN</t>
        </is>
      </c>
      <c r="F71" s="13" t="n">
        <v>2095</v>
      </c>
      <c r="G71" s="8" t="n">
        <v>7.053477</v>
      </c>
      <c r="H71" s="8" t="n">
        <v>7.9619956</v>
      </c>
      <c r="I71" s="14" t="n">
        <v>0.8706443914081146</v>
      </c>
    </row>
    <row r="72">
      <c r="A72" s="7" t="inlineStr">
        <is>
          <t>Snap25-IRES2-Cre;Ai14-453388</t>
        </is>
      </c>
      <c r="B72" s="7" t="inlineStr">
        <is>
          <t>aged</t>
        </is>
      </c>
      <c r="C72" s="7" t="inlineStr">
        <is>
          <t>P546</t>
        </is>
      </c>
      <c r="D72" s="7" t="inlineStr">
        <is>
          <t>M</t>
        </is>
      </c>
      <c r="E72" s="7" t="inlineStr">
        <is>
          <t>326 OPC NN</t>
        </is>
      </c>
      <c r="F72" s="13" t="n">
        <v>1581</v>
      </c>
      <c r="G72" s="8" t="n">
        <v>7.174828</v>
      </c>
      <c r="H72" s="8" t="n">
        <v>7.9742403</v>
      </c>
      <c r="I72" s="14" t="n">
        <v>0.8893105629348513</v>
      </c>
    </row>
    <row r="73">
      <c r="A73" s="7" t="inlineStr">
        <is>
          <t>Snap25-IRES2-Cre;Ai14-454396</t>
        </is>
      </c>
      <c r="B73" s="7" t="inlineStr">
        <is>
          <t>aged</t>
        </is>
      </c>
      <c r="C73" s="7" t="inlineStr">
        <is>
          <t>P550</t>
        </is>
      </c>
      <c r="D73" s="7" t="inlineStr">
        <is>
          <t>M</t>
        </is>
      </c>
      <c r="E73" s="7" t="inlineStr">
        <is>
          <t>326 OPC NN</t>
        </is>
      </c>
      <c r="F73" s="13" t="n">
        <v>1235</v>
      </c>
      <c r="G73" s="8" t="n">
        <v>7.37853</v>
      </c>
      <c r="H73" s="8" t="n">
        <v>8.191678</v>
      </c>
      <c r="I73" s="14" t="n">
        <v>0.8882591093117409</v>
      </c>
    </row>
    <row r="74">
      <c r="A74" s="7" t="inlineStr">
        <is>
          <t>Snap25-IRES2-Cre;Ai14-454398</t>
        </is>
      </c>
      <c r="B74" s="7" t="inlineStr">
        <is>
          <t>aged</t>
        </is>
      </c>
      <c r="C74" s="7" t="inlineStr">
        <is>
          <t>P543</t>
        </is>
      </c>
      <c r="D74" s="7" t="inlineStr">
        <is>
          <t>M</t>
        </is>
      </c>
      <c r="E74" s="7" t="inlineStr">
        <is>
          <t>326 OPC NN</t>
        </is>
      </c>
      <c r="F74" s="13" t="n">
        <v>1618</v>
      </c>
      <c r="G74" s="8" t="n">
        <v>6.9474998</v>
      </c>
      <c r="H74" s="8" t="n">
        <v>7.8030815</v>
      </c>
      <c r="I74" s="14" t="n">
        <v>0.8782447466007417</v>
      </c>
    </row>
    <row r="75">
      <c r="A75" s="7" t="inlineStr">
        <is>
          <t>Snap25-IRES2-Cre;Ai14-454399</t>
        </is>
      </c>
      <c r="B75" s="7" t="inlineStr">
        <is>
          <t>aged</t>
        </is>
      </c>
      <c r="C75" s="7" t="inlineStr">
        <is>
          <t>P549</t>
        </is>
      </c>
      <c r="D75" s="7" t="inlineStr">
        <is>
          <t>F</t>
        </is>
      </c>
      <c r="E75" s="7" t="inlineStr">
        <is>
          <t>326 OPC NN</t>
        </is>
      </c>
      <c r="F75" s="13" t="n">
        <v>2425</v>
      </c>
      <c r="G75" s="8" t="n">
        <v>6.614251</v>
      </c>
      <c r="H75" s="8" t="n">
        <v>7.6583915</v>
      </c>
      <c r="I75" s="14" t="n">
        <v>0.8420618556701031</v>
      </c>
    </row>
    <row r="76">
      <c r="A76" s="7" t="inlineStr">
        <is>
          <t>Snap25-IRES2-Cre;Ai14-455010</t>
        </is>
      </c>
      <c r="B76" s="7" t="inlineStr">
        <is>
          <t>aged</t>
        </is>
      </c>
      <c r="C76" s="7" t="inlineStr">
        <is>
          <t>P553</t>
        </is>
      </c>
      <c r="D76" s="7" t="inlineStr">
        <is>
          <t>F</t>
        </is>
      </c>
      <c r="E76" s="7" t="inlineStr">
        <is>
          <t>326 OPC NN</t>
        </is>
      </c>
      <c r="F76" s="13" t="n">
        <v>543</v>
      </c>
      <c r="G76" s="8" t="n">
        <v>6.681844</v>
      </c>
      <c r="H76" s="8" t="n">
        <v>7.8723226</v>
      </c>
      <c r="I76" s="14" t="n">
        <v>0.8342541436464088</v>
      </c>
    </row>
    <row r="77">
      <c r="A77" s="7" t="inlineStr">
        <is>
          <t>Snap25-IRES2-Cre;Ai14-455011</t>
        </is>
      </c>
      <c r="B77" s="7" t="inlineStr">
        <is>
          <t>aged</t>
        </is>
      </c>
      <c r="C77" s="7" t="inlineStr">
        <is>
          <t>P553</t>
        </is>
      </c>
      <c r="D77" s="7" t="inlineStr">
        <is>
          <t>F</t>
        </is>
      </c>
      <c r="E77" s="7" t="inlineStr">
        <is>
          <t>326 OPC NN</t>
        </is>
      </c>
      <c r="F77" s="13" t="n">
        <v>1569</v>
      </c>
      <c r="G77" s="8" t="n">
        <v>7.1785684</v>
      </c>
      <c r="H77" s="8" t="n">
        <v>7.8446064</v>
      </c>
      <c r="I77" s="14" t="n">
        <v>0.9094964945825368</v>
      </c>
    </row>
    <row r="78">
      <c r="A78" s="7" t="inlineStr">
        <is>
          <t>Snap25-IRES2-Cre;Ai14-455012</t>
        </is>
      </c>
      <c r="B78" s="7" t="inlineStr">
        <is>
          <t>aged</t>
        </is>
      </c>
      <c r="C78" s="7" t="inlineStr">
        <is>
          <t>P547</t>
        </is>
      </c>
      <c r="D78" s="7" t="inlineStr">
        <is>
          <t>F</t>
        </is>
      </c>
      <c r="E78" s="7" t="inlineStr">
        <is>
          <t>326 OPC NN</t>
        </is>
      </c>
      <c r="F78" s="13" t="n">
        <v>921</v>
      </c>
      <c r="G78" s="8" t="n">
        <v>6.624071</v>
      </c>
      <c r="H78" s="8" t="n">
        <v>7.615514</v>
      </c>
      <c r="I78" s="14" t="n">
        <v>0.8447339847991314</v>
      </c>
    </row>
    <row r="79">
      <c r="A79" s="7" t="inlineStr">
        <is>
          <t>Snap25-IRES2-Cre;Ai14-455014</t>
        </is>
      </c>
      <c r="B79" s="7" t="inlineStr">
        <is>
          <t>aged</t>
        </is>
      </c>
      <c r="C79" s="7" t="inlineStr">
        <is>
          <t>P546</t>
        </is>
      </c>
      <c r="D79" s="7" t="inlineStr">
        <is>
          <t>F</t>
        </is>
      </c>
      <c r="E79" s="7" t="inlineStr">
        <is>
          <t>326 OPC NN</t>
        </is>
      </c>
      <c r="F79" s="13" t="n">
        <v>1792</v>
      </c>
      <c r="G79" s="8" t="n">
        <v>7.7515936</v>
      </c>
      <c r="H79" s="8" t="n">
        <v>8.282413500000001</v>
      </c>
      <c r="I79" s="14" t="n">
        <v>0.9375</v>
      </c>
    </row>
    <row r="80">
      <c r="A80" s="7" t="inlineStr">
        <is>
          <t>Snap25-IRES2-Cre;Ai14-459918</t>
        </is>
      </c>
      <c r="B80" s="7" t="inlineStr">
        <is>
          <t>aged</t>
        </is>
      </c>
      <c r="C80" s="7" t="inlineStr">
        <is>
          <t>P544</t>
        </is>
      </c>
      <c r="D80" s="7" t="inlineStr">
        <is>
          <t>F</t>
        </is>
      </c>
      <c r="E80" s="7" t="inlineStr">
        <is>
          <t>326 OPC NN</t>
        </is>
      </c>
      <c r="F80" s="13" t="n">
        <v>1884</v>
      </c>
      <c r="G80" s="8" t="n">
        <v>7.2759705</v>
      </c>
      <c r="H80" s="8" t="n">
        <v>7.930991</v>
      </c>
      <c r="I80" s="14" t="n">
        <v>0.9134819532908705</v>
      </c>
    </row>
    <row r="81">
      <c r="A81" s="7" t="inlineStr">
        <is>
          <t>Snap25-IRES2-Cre;Ai14-459919</t>
        </is>
      </c>
      <c r="B81" s="7" t="inlineStr">
        <is>
          <t>aged</t>
        </is>
      </c>
      <c r="C81" s="7" t="inlineStr">
        <is>
          <t>P544</t>
        </is>
      </c>
      <c r="D81" s="7" t="inlineStr">
        <is>
          <t>F</t>
        </is>
      </c>
      <c r="E81" s="7" t="inlineStr">
        <is>
          <t>326 OPC NN</t>
        </is>
      </c>
      <c r="F81" s="13" t="n">
        <v>1369</v>
      </c>
      <c r="G81" s="8" t="n">
        <v>6.7798376</v>
      </c>
      <c r="H81" s="8" t="n">
        <v>7.6832075</v>
      </c>
      <c r="I81" s="14" t="n">
        <v>0.8634039444850256</v>
      </c>
    </row>
    <row r="82">
      <c r="A82" s="7" t="inlineStr">
        <is>
          <t>Snap25-IRES2-Cre;Ai14-463229</t>
        </is>
      </c>
      <c r="B82" s="7" t="inlineStr">
        <is>
          <t>aged</t>
        </is>
      </c>
      <c r="C82" s="7" t="inlineStr">
        <is>
          <t>18M</t>
        </is>
      </c>
      <c r="D82" s="7" t="inlineStr">
        <is>
          <t>M</t>
        </is>
      </c>
      <c r="E82" s="7" t="inlineStr">
        <is>
          <t>326 OPC NN</t>
        </is>
      </c>
      <c r="F82" s="13" t="n">
        <v>1214</v>
      </c>
      <c r="G82" s="8" t="n">
        <v>6.7548666</v>
      </c>
      <c r="H82" s="8" t="n">
        <v>7.632206</v>
      </c>
      <c r="I82" s="14" t="n">
        <v>0.872322899505766</v>
      </c>
    </row>
    <row r="83">
      <c r="A83" s="7" t="inlineStr">
        <is>
          <t>Snap25-IRES2-Cre;Ai14-463230</t>
        </is>
      </c>
      <c r="B83" s="7" t="inlineStr">
        <is>
          <t>aged</t>
        </is>
      </c>
      <c r="C83" s="7" t="inlineStr">
        <is>
          <t>P549</t>
        </is>
      </c>
      <c r="D83" s="7" t="inlineStr">
        <is>
          <t>M</t>
        </is>
      </c>
      <c r="E83" s="7" t="inlineStr">
        <is>
          <t>326 OPC NN</t>
        </is>
      </c>
      <c r="F83" s="13" t="n">
        <v>1951</v>
      </c>
      <c r="G83" s="8" t="n">
        <v>7.075278</v>
      </c>
      <c r="H83" s="8" t="n">
        <v>7.696853</v>
      </c>
      <c r="I83" s="14" t="n">
        <v>0.9128651973347002</v>
      </c>
    </row>
    <row r="84">
      <c r="A84" s="7" t="inlineStr">
        <is>
          <t>Snap25-IRES2-Cre;Ai14-463232</t>
        </is>
      </c>
      <c r="B84" s="7" t="inlineStr">
        <is>
          <t>aged</t>
        </is>
      </c>
      <c r="C84" s="7" t="inlineStr">
        <is>
          <t>P541</t>
        </is>
      </c>
      <c r="D84" s="7" t="inlineStr">
        <is>
          <t>M</t>
        </is>
      </c>
      <c r="E84" s="7" t="inlineStr">
        <is>
          <t>326 OPC NN</t>
        </is>
      </c>
      <c r="F84" s="13" t="n">
        <v>1494</v>
      </c>
      <c r="G84" s="8" t="n">
        <v>6.895843</v>
      </c>
      <c r="H84" s="8" t="n">
        <v>7.8452644</v>
      </c>
      <c r="I84" s="14" t="n">
        <v>0.8634538152610441</v>
      </c>
    </row>
    <row r="85">
      <c r="A85" s="7" t="inlineStr">
        <is>
          <t>Snap25-IRES2-Cre;Ai14-463235</t>
        </is>
      </c>
      <c r="B85" s="7" t="inlineStr">
        <is>
          <t>aged</t>
        </is>
      </c>
      <c r="C85" s="7" t="inlineStr">
        <is>
          <t>P541</t>
        </is>
      </c>
      <c r="D85" s="7" t="inlineStr">
        <is>
          <t>M</t>
        </is>
      </c>
      <c r="E85" s="7" t="inlineStr">
        <is>
          <t>326 OPC NN</t>
        </is>
      </c>
      <c r="F85" s="13" t="n">
        <v>1990</v>
      </c>
      <c r="G85" s="8" t="n">
        <v>6.5501456</v>
      </c>
      <c r="H85" s="8" t="n">
        <v>7.574478</v>
      </c>
      <c r="I85" s="14" t="n">
        <v>0.8467336683417085</v>
      </c>
    </row>
    <row r="86">
      <c r="A86" s="7" t="inlineStr">
        <is>
          <t>Snap25-IRES2-Cre;Ai14-464325</t>
        </is>
      </c>
      <c r="B86" s="7" t="inlineStr">
        <is>
          <t>aged</t>
        </is>
      </c>
      <c r="C86" s="7" t="inlineStr">
        <is>
          <t>P551</t>
        </is>
      </c>
      <c r="D86" s="7" t="inlineStr">
        <is>
          <t>M</t>
        </is>
      </c>
      <c r="E86" s="7" t="inlineStr">
        <is>
          <t>326 OPC NN</t>
        </is>
      </c>
      <c r="F86" s="13" t="n">
        <v>1714</v>
      </c>
      <c r="G86" s="8" t="n">
        <v>7.077161</v>
      </c>
      <c r="H86" s="8" t="n">
        <v>7.8147855</v>
      </c>
      <c r="I86" s="14" t="n">
        <v>0.8955659276546091</v>
      </c>
    </row>
    <row r="87">
      <c r="A87" s="7" t="inlineStr">
        <is>
          <t>Snap25-IRES2-Cre;Ai14-464751</t>
        </is>
      </c>
      <c r="B87" s="7" t="inlineStr">
        <is>
          <t>aged</t>
        </is>
      </c>
      <c r="C87" s="7" t="inlineStr">
        <is>
          <t>P542</t>
        </is>
      </c>
      <c r="D87" s="7" t="inlineStr">
        <is>
          <t>M</t>
        </is>
      </c>
      <c r="E87" s="7" t="inlineStr">
        <is>
          <t>326 OPC NN</t>
        </is>
      </c>
      <c r="F87" s="13" t="n">
        <v>524</v>
      </c>
      <c r="G87" s="8" t="n">
        <v>7.2116446</v>
      </c>
      <c r="H87" s="8" t="n">
        <v>7.9473805</v>
      </c>
      <c r="I87" s="14" t="n">
        <v>0.9045801526717556</v>
      </c>
    </row>
    <row r="88">
      <c r="A88" s="7" t="inlineStr">
        <is>
          <t>Snap25-IRES2-Cre;Ai14-464753</t>
        </is>
      </c>
      <c r="B88" s="7" t="inlineStr">
        <is>
          <t>aged</t>
        </is>
      </c>
      <c r="C88" s="7" t="inlineStr">
        <is>
          <t>18M</t>
        </is>
      </c>
      <c r="D88" s="7" t="inlineStr">
        <is>
          <t>M</t>
        </is>
      </c>
      <c r="E88" s="7" t="inlineStr">
        <is>
          <t>326 OPC NN</t>
        </is>
      </c>
      <c r="F88" s="13" t="n">
        <v>1767</v>
      </c>
      <c r="G88" s="8" t="n">
        <v>6.2413106</v>
      </c>
      <c r="H88" s="8" t="n">
        <v>7.3615236</v>
      </c>
      <c r="I88" s="14" t="n">
        <v>0.8075834748160724</v>
      </c>
    </row>
    <row r="89">
      <c r="A89" s="7" t="inlineStr">
        <is>
          <t>Snap25-IRES2-Cre;Ai14-464755</t>
        </is>
      </c>
      <c r="B89" s="7" t="inlineStr">
        <is>
          <t>aged</t>
        </is>
      </c>
      <c r="C89" s="7" t="inlineStr">
        <is>
          <t>P549</t>
        </is>
      </c>
      <c r="D89" s="7" t="inlineStr">
        <is>
          <t>M</t>
        </is>
      </c>
      <c r="E89" s="7" t="inlineStr">
        <is>
          <t>326 OPC NN</t>
        </is>
      </c>
      <c r="F89" s="13" t="n">
        <v>1274</v>
      </c>
      <c r="G89" s="8" t="n">
        <v>6.8628836</v>
      </c>
      <c r="H89" s="8" t="n">
        <v>7.620002</v>
      </c>
      <c r="I89" s="14" t="n">
        <v>0.8838304552590267</v>
      </c>
    </row>
    <row r="90">
      <c r="A90" s="7" t="inlineStr">
        <is>
          <t>Snap25-IRES2-Cre;Ai14-464756</t>
        </is>
      </c>
      <c r="B90" s="7" t="inlineStr">
        <is>
          <t>aged</t>
        </is>
      </c>
      <c r="C90" s="7" t="inlineStr">
        <is>
          <t>P541</t>
        </is>
      </c>
      <c r="D90" s="7" t="inlineStr">
        <is>
          <t>F</t>
        </is>
      </c>
      <c r="E90" s="7" t="inlineStr">
        <is>
          <t>326 OPC NN</t>
        </is>
      </c>
      <c r="F90" s="13" t="n">
        <v>184</v>
      </c>
      <c r="G90" s="8" t="n">
        <v>7.1106586</v>
      </c>
      <c r="H90" s="8" t="n">
        <v>8.028245999999999</v>
      </c>
      <c r="I90" s="14" t="n">
        <v>0.8804347826086957</v>
      </c>
    </row>
    <row r="91">
      <c r="A91" s="7" t="inlineStr">
        <is>
          <t>Snap25-IRES2-Cre;Ai14-464758</t>
        </is>
      </c>
      <c r="B91" s="7" t="inlineStr">
        <is>
          <t>aged</t>
        </is>
      </c>
      <c r="C91" s="7" t="inlineStr">
        <is>
          <t>P542</t>
        </is>
      </c>
      <c r="D91" s="7" t="inlineStr">
        <is>
          <t>F</t>
        </is>
      </c>
      <c r="E91" s="7" t="inlineStr">
        <is>
          <t>326 OPC NN</t>
        </is>
      </c>
      <c r="F91" s="13" t="n">
        <v>2153</v>
      </c>
      <c r="G91" s="8" t="n">
        <v>6.602476</v>
      </c>
      <c r="H91" s="8" t="n">
        <v>7.5379395</v>
      </c>
      <c r="I91" s="14" t="n">
        <v>0.8560148629818858</v>
      </c>
    </row>
    <row r="92">
      <c r="A92" s="7" t="inlineStr">
        <is>
          <t>Snap25-IRES2-Cre;Ai14-464759</t>
        </is>
      </c>
      <c r="B92" s="7" t="inlineStr">
        <is>
          <t>aged</t>
        </is>
      </c>
      <c r="C92" s="7" t="inlineStr">
        <is>
          <t>P541</t>
        </is>
      </c>
      <c r="D92" s="7" t="inlineStr">
        <is>
          <t>F</t>
        </is>
      </c>
      <c r="E92" s="7" t="inlineStr">
        <is>
          <t>326 OPC NN</t>
        </is>
      </c>
      <c r="F92" s="13" t="n">
        <v>2434</v>
      </c>
      <c r="G92" s="8" t="n">
        <v>6.544657</v>
      </c>
      <c r="H92" s="8" t="n">
        <v>7.601117</v>
      </c>
      <c r="I92" s="14" t="n">
        <v>0.8393590797041907</v>
      </c>
    </row>
    <row r="93">
      <c r="A93" s="7" t="inlineStr">
        <is>
          <t>Snap25-IRES2-Cre;Ai14-468791</t>
        </is>
      </c>
      <c r="B93" s="7" t="inlineStr">
        <is>
          <t>aged</t>
        </is>
      </c>
      <c r="C93" s="7" t="inlineStr">
        <is>
          <t>P545</t>
        </is>
      </c>
      <c r="D93" s="7" t="inlineStr">
        <is>
          <t>M</t>
        </is>
      </c>
      <c r="E93" s="7" t="inlineStr">
        <is>
          <t>326 OPC NN</t>
        </is>
      </c>
      <c r="F93" s="13" t="n">
        <v>1561</v>
      </c>
      <c r="G93" s="8" t="n">
        <v>7.1918387</v>
      </c>
      <c r="H93" s="8" t="n">
        <v>7.8547783</v>
      </c>
      <c r="I93" s="14" t="n">
        <v>0.9083920563741192</v>
      </c>
    </row>
    <row r="94">
      <c r="A94" s="7" t="inlineStr">
        <is>
          <t>Snap25-IRES2-Cre;Ai14-468792</t>
        </is>
      </c>
      <c r="B94" s="7" t="inlineStr">
        <is>
          <t>aged</t>
        </is>
      </c>
      <c r="C94" s="7" t="inlineStr">
        <is>
          <t>P545</t>
        </is>
      </c>
      <c r="D94" s="7" t="inlineStr">
        <is>
          <t>M</t>
        </is>
      </c>
      <c r="E94" s="7" t="inlineStr">
        <is>
          <t>326 OPC NN</t>
        </is>
      </c>
      <c r="F94" s="13" t="n">
        <v>2133</v>
      </c>
      <c r="G94" s="8" t="n">
        <v>7.863907</v>
      </c>
      <c r="H94" s="8" t="n">
        <v>8.259383</v>
      </c>
      <c r="I94" s="14" t="n">
        <v>0.9563994374120957</v>
      </c>
    </row>
    <row r="95">
      <c r="A95" s="7" t="inlineStr">
        <is>
          <t>Snap25-IRES2-Cre;Ai14-499307</t>
        </is>
      </c>
      <c r="B95" s="7" t="inlineStr">
        <is>
          <t>aged</t>
        </is>
      </c>
      <c r="C95" s="7" t="inlineStr">
        <is>
          <t>P543</t>
        </is>
      </c>
      <c r="D95" s="7" t="inlineStr">
        <is>
          <t>M</t>
        </is>
      </c>
      <c r="E95" s="7" t="inlineStr">
        <is>
          <t>326 OPC NN</t>
        </is>
      </c>
      <c r="F95" s="13" t="n">
        <v>73</v>
      </c>
      <c r="G95" s="8" t="n">
        <v>7.334141</v>
      </c>
      <c r="H95" s="8" t="n">
        <v>8.268787</v>
      </c>
      <c r="I95" s="14" t="n">
        <v>0.8904109589041096</v>
      </c>
    </row>
    <row r="96">
      <c r="A96" s="7" t="inlineStr">
        <is>
          <t>Snap25-IRES2-Cre;Ai14-511457</t>
        </is>
      </c>
      <c r="B96" s="7" t="inlineStr">
        <is>
          <t>aged</t>
        </is>
      </c>
      <c r="C96" s="7" t="inlineStr">
        <is>
          <t>P545</t>
        </is>
      </c>
      <c r="D96" s="7" t="inlineStr">
        <is>
          <t>M</t>
        </is>
      </c>
      <c r="E96" s="7" t="inlineStr">
        <is>
          <t>326 OPC NN</t>
        </is>
      </c>
      <c r="F96" s="13" t="n">
        <v>44</v>
      </c>
      <c r="G96" s="8" t="n">
        <v>6.8931737</v>
      </c>
      <c r="H96" s="8" t="n">
        <v>7.863448</v>
      </c>
      <c r="I96" s="14" t="n">
        <v>0.8636363636363636</v>
      </c>
    </row>
    <row r="97">
      <c r="A97" s="7" t="inlineStr">
        <is>
          <t>Snap25-IRES2-Cre;Ai14-511460</t>
        </is>
      </c>
      <c r="B97" s="7" t="inlineStr">
        <is>
          <t>aged</t>
        </is>
      </c>
      <c r="C97" s="7" t="inlineStr">
        <is>
          <t>P544</t>
        </is>
      </c>
      <c r="D97" s="7" t="inlineStr">
        <is>
          <t>F</t>
        </is>
      </c>
      <c r="E97" s="7" t="inlineStr">
        <is>
          <t>326 OPC NN</t>
        </is>
      </c>
      <c r="F97" s="13" t="n">
        <v>911</v>
      </c>
      <c r="G97" s="8" t="n">
        <v>6.7140074</v>
      </c>
      <c r="H97" s="8" t="n">
        <v>7.6369576</v>
      </c>
      <c r="I97" s="14" t="n">
        <v>0.8638858397365532</v>
      </c>
    </row>
    <row r="98">
      <c r="A98" s="7" t="inlineStr">
        <is>
          <t>Snap25-IRES2-Cre;Ai14-511895</t>
        </is>
      </c>
      <c r="B98" s="7" t="inlineStr">
        <is>
          <t>aged</t>
        </is>
      </c>
      <c r="C98" s="7" t="inlineStr">
        <is>
          <t>P543</t>
        </is>
      </c>
      <c r="D98" s="7" t="inlineStr">
        <is>
          <t>M</t>
        </is>
      </c>
      <c r="E98" s="7" t="inlineStr">
        <is>
          <t>326 OPC NN</t>
        </is>
      </c>
      <c r="F98" s="13" t="n">
        <v>1791</v>
      </c>
      <c r="G98" s="8" t="n">
        <v>5.841097</v>
      </c>
      <c r="H98" s="8" t="n">
        <v>7.167879</v>
      </c>
      <c r="I98" s="14" t="n">
        <v>0.7599106644332775</v>
      </c>
    </row>
    <row r="99">
      <c r="A99" s="7" t="inlineStr">
        <is>
          <t>Snap25-IRES2-Cre;Ai14-512026</t>
        </is>
      </c>
      <c r="B99" s="7" t="inlineStr">
        <is>
          <t>aged</t>
        </is>
      </c>
      <c r="C99" s="7" t="inlineStr">
        <is>
          <t>P544</t>
        </is>
      </c>
      <c r="D99" s="7" t="inlineStr">
        <is>
          <t>F</t>
        </is>
      </c>
      <c r="E99" s="7" t="inlineStr">
        <is>
          <t>326 OPC NN</t>
        </is>
      </c>
      <c r="F99" s="13" t="n">
        <v>766</v>
      </c>
      <c r="G99" s="8" t="n">
        <v>6.8404474</v>
      </c>
      <c r="H99" s="8" t="n">
        <v>7.6761627</v>
      </c>
      <c r="I99" s="14" t="n">
        <v>0.8772845953002611</v>
      </c>
    </row>
    <row r="100">
      <c r="A100" s="7" t="inlineStr">
        <is>
          <t>Snap25-IRES2-Cre;Ai14-512279</t>
        </is>
      </c>
      <c r="B100" s="7" t="inlineStr">
        <is>
          <t>aged</t>
        </is>
      </c>
      <c r="C100" s="7" t="inlineStr">
        <is>
          <t>P546</t>
        </is>
      </c>
      <c r="D100" s="7" t="inlineStr">
        <is>
          <t>M</t>
        </is>
      </c>
      <c r="E100" s="7" t="inlineStr">
        <is>
          <t>326 OPC NN</t>
        </is>
      </c>
      <c r="F100" s="13" t="n">
        <v>20</v>
      </c>
      <c r="G100" s="8" t="n">
        <v>6.183532</v>
      </c>
      <c r="H100" s="8" t="n">
        <v>7.178258</v>
      </c>
      <c r="I100" s="14" t="n">
        <v>0.8</v>
      </c>
    </row>
    <row r="101">
      <c r="A101" s="7" t="inlineStr">
        <is>
          <t>Snap25-IRES2-Cre;Ai14-513431</t>
        </is>
      </c>
      <c r="B101" s="7" t="inlineStr">
        <is>
          <t>aged</t>
        </is>
      </c>
      <c r="C101" s="7" t="inlineStr">
        <is>
          <t>P540</t>
        </is>
      </c>
      <c r="D101" s="7" t="inlineStr">
        <is>
          <t>M</t>
        </is>
      </c>
      <c r="E101" s="7" t="inlineStr">
        <is>
          <t>326 OPC NN</t>
        </is>
      </c>
      <c r="F101" s="13" t="n">
        <v>58</v>
      </c>
      <c r="G101" s="8" t="n">
        <v>5.9876575</v>
      </c>
      <c r="H101" s="8" t="n">
        <v>7.602867</v>
      </c>
      <c r="I101" s="14" t="n">
        <v>0.7586206896551724</v>
      </c>
    </row>
    <row r="102">
      <c r="A102" s="7" t="inlineStr">
        <is>
          <t>Snap25-IRES2-Cre;Ai14-450087</t>
        </is>
      </c>
      <c r="B102" s="7" t="inlineStr">
        <is>
          <t>adult</t>
        </is>
      </c>
      <c r="C102" s="7" t="inlineStr">
        <is>
          <t>P56</t>
        </is>
      </c>
      <c r="D102" s="7" t="inlineStr">
        <is>
          <t>M</t>
        </is>
      </c>
      <c r="E102" s="7" t="inlineStr">
        <is>
          <t>327 Oligo NN</t>
        </is>
      </c>
      <c r="F102" s="13" t="n">
        <v>4127</v>
      </c>
      <c r="G102" s="8" t="n">
        <v>8.067681</v>
      </c>
      <c r="H102" s="8" t="n">
        <v>8.547091</v>
      </c>
      <c r="I102" s="14" t="n">
        <v>0.95105403440756</v>
      </c>
    </row>
    <row r="103">
      <c r="A103" s="7" t="inlineStr">
        <is>
          <t>Snap25-IRES2-Cre;Ai14-450095</t>
        </is>
      </c>
      <c r="B103" s="7" t="inlineStr">
        <is>
          <t>adult</t>
        </is>
      </c>
      <c r="C103" s="7" t="inlineStr">
        <is>
          <t>P56</t>
        </is>
      </c>
      <c r="D103" s="7" t="inlineStr">
        <is>
          <t>F</t>
        </is>
      </c>
      <c r="E103" s="7" t="inlineStr">
        <is>
          <t>327 Oligo NN</t>
        </is>
      </c>
      <c r="F103" s="13" t="n">
        <v>265</v>
      </c>
      <c r="G103" s="8" t="n">
        <v>7.8748884</v>
      </c>
      <c r="H103" s="8" t="n">
        <v>8.438463</v>
      </c>
      <c r="I103" s="14" t="n">
        <v>0.9358490566037736</v>
      </c>
    </row>
    <row r="104">
      <c r="A104" s="7" t="inlineStr">
        <is>
          <t>Snap25-IRES2-Cre;Ai14-459490</t>
        </is>
      </c>
      <c r="B104" s="7" t="inlineStr">
        <is>
          <t>adult</t>
        </is>
      </c>
      <c r="C104" s="7" t="inlineStr">
        <is>
          <t>P56</t>
        </is>
      </c>
      <c r="D104" s="7" t="inlineStr">
        <is>
          <t>M</t>
        </is>
      </c>
      <c r="E104" s="7" t="inlineStr">
        <is>
          <t>327 Oligo NN</t>
        </is>
      </c>
      <c r="F104" s="13" t="n">
        <v>1234</v>
      </c>
      <c r="G104" s="8" t="n">
        <v>7.8274436</v>
      </c>
      <c r="H104" s="8" t="n">
        <v>8.436234000000001</v>
      </c>
      <c r="I104" s="14" t="n">
        <v>0.9343598055105348</v>
      </c>
    </row>
    <row r="105">
      <c r="A105" s="7" t="inlineStr">
        <is>
          <t>Snap25-IRES2-Cre;Ai14-459495</t>
        </is>
      </c>
      <c r="B105" s="7" t="inlineStr">
        <is>
          <t>adult</t>
        </is>
      </c>
      <c r="C105" s="7" t="inlineStr">
        <is>
          <t>P56</t>
        </is>
      </c>
      <c r="D105" s="7" t="inlineStr">
        <is>
          <t>F</t>
        </is>
      </c>
      <c r="E105" s="7" t="inlineStr">
        <is>
          <t>327 Oligo NN</t>
        </is>
      </c>
      <c r="F105" s="13" t="n">
        <v>2851</v>
      </c>
      <c r="G105" s="8" t="n">
        <v>7.7040668</v>
      </c>
      <c r="H105" s="8" t="n">
        <v>8.200502</v>
      </c>
      <c r="I105" s="14" t="n">
        <v>0.9459838653104174</v>
      </c>
    </row>
    <row r="106">
      <c r="A106" s="7" t="inlineStr">
        <is>
          <t>Snap25-IRES2-Cre;Ai14-462433</t>
        </is>
      </c>
      <c r="B106" s="7" t="inlineStr">
        <is>
          <t>adult</t>
        </is>
      </c>
      <c r="C106" s="7" t="inlineStr">
        <is>
          <t>P69</t>
        </is>
      </c>
      <c r="D106" s="7" t="inlineStr">
        <is>
          <t>M</t>
        </is>
      </c>
      <c r="E106" s="7" t="inlineStr">
        <is>
          <t>327 Oligo NN</t>
        </is>
      </c>
      <c r="F106" s="13" t="n">
        <v>351</v>
      </c>
      <c r="G106" s="8" t="n">
        <v>7.9083233</v>
      </c>
      <c r="H106" s="8" t="n">
        <v>8.387543000000001</v>
      </c>
      <c r="I106" s="14" t="n">
        <v>0.9544159544159544</v>
      </c>
    </row>
    <row r="107">
      <c r="A107" s="7" t="inlineStr">
        <is>
          <t>Snap25-IRES2-Cre;Ai14-462434</t>
        </is>
      </c>
      <c r="B107" s="7" t="inlineStr">
        <is>
          <t>adult</t>
        </is>
      </c>
      <c r="C107" s="7" t="inlineStr">
        <is>
          <t>P69</t>
        </is>
      </c>
      <c r="D107" s="7" t="inlineStr">
        <is>
          <t>M</t>
        </is>
      </c>
      <c r="E107" s="7" t="inlineStr">
        <is>
          <t>327 Oligo NN</t>
        </is>
      </c>
      <c r="F107" s="13" t="n">
        <v>723</v>
      </c>
      <c r="G107" s="8" t="n">
        <v>7.3717065</v>
      </c>
      <c r="H107" s="8" t="n">
        <v>8.215118</v>
      </c>
      <c r="I107" s="14" t="n">
        <v>0.8948824343015215</v>
      </c>
    </row>
    <row r="108">
      <c r="A108" s="7" t="inlineStr">
        <is>
          <t>Snap25-IRES2-Cre;Ai14-463942</t>
        </is>
      </c>
      <c r="B108" s="7" t="inlineStr">
        <is>
          <t>adult</t>
        </is>
      </c>
      <c r="C108" s="7" t="inlineStr">
        <is>
          <t>P56</t>
        </is>
      </c>
      <c r="D108" s="7" t="inlineStr">
        <is>
          <t>F</t>
        </is>
      </c>
      <c r="E108" s="7" t="inlineStr">
        <is>
          <t>327 Oligo NN</t>
        </is>
      </c>
      <c r="F108" s="13" t="n">
        <v>2931</v>
      </c>
      <c r="G108" s="8" t="n">
        <v>7.7801337</v>
      </c>
      <c r="H108" s="8" t="n">
        <v>8.336034</v>
      </c>
      <c r="I108" s="14" t="n">
        <v>0.9396110542476972</v>
      </c>
    </row>
    <row r="109">
      <c r="A109" s="7" t="inlineStr">
        <is>
          <t>Snap25-IRES2-Cre;Ai14-463943</t>
        </is>
      </c>
      <c r="B109" s="7" t="inlineStr">
        <is>
          <t>adult</t>
        </is>
      </c>
      <c r="C109" s="7" t="inlineStr">
        <is>
          <t>P56</t>
        </is>
      </c>
      <c r="D109" s="7" t="inlineStr">
        <is>
          <t>F</t>
        </is>
      </c>
      <c r="E109" s="7" t="inlineStr">
        <is>
          <t>327 Oligo NN</t>
        </is>
      </c>
      <c r="F109" s="13" t="n">
        <v>441</v>
      </c>
      <c r="G109" s="8" t="n">
        <v>7.772517</v>
      </c>
      <c r="H109" s="8" t="n">
        <v>8.464111000000001</v>
      </c>
      <c r="I109" s="14" t="n">
        <v>0.9251700680272108</v>
      </c>
    </row>
    <row r="110">
      <c r="A110" s="7" t="inlineStr">
        <is>
          <t>Snap25-IRES2-Cre;Ai14-464324</t>
        </is>
      </c>
      <c r="B110" s="7" t="inlineStr">
        <is>
          <t>adult</t>
        </is>
      </c>
      <c r="C110" s="7" t="inlineStr">
        <is>
          <t>P68</t>
        </is>
      </c>
      <c r="D110" s="7" t="inlineStr">
        <is>
          <t>M</t>
        </is>
      </c>
      <c r="E110" s="7" t="inlineStr">
        <is>
          <t>327 Oligo NN</t>
        </is>
      </c>
      <c r="F110" s="13" t="n">
        <v>2798</v>
      </c>
      <c r="G110" s="8" t="n">
        <v>7.5805464</v>
      </c>
      <c r="H110" s="8" t="n">
        <v>8.171846</v>
      </c>
      <c r="I110" s="14" t="n">
        <v>0.9299499642601858</v>
      </c>
    </row>
    <row r="111">
      <c r="A111" s="7" t="inlineStr">
        <is>
          <t>Snap25-IRES2-Cre;Ai14-464327</t>
        </is>
      </c>
      <c r="B111" s="7" t="inlineStr">
        <is>
          <t>adult</t>
        </is>
      </c>
      <c r="C111" s="7" t="inlineStr">
        <is>
          <t>P68</t>
        </is>
      </c>
      <c r="D111" s="7" t="inlineStr">
        <is>
          <t>F</t>
        </is>
      </c>
      <c r="E111" s="7" t="inlineStr">
        <is>
          <t>327 Oligo NN</t>
        </is>
      </c>
      <c r="F111" s="13" t="n">
        <v>2749</v>
      </c>
      <c r="G111" s="8" t="n">
        <v>7.4885426</v>
      </c>
      <c r="H111" s="8" t="n">
        <v>8.171709</v>
      </c>
      <c r="I111" s="14" t="n">
        <v>0.9148781375045472</v>
      </c>
    </row>
    <row r="112">
      <c r="A112" s="7" t="inlineStr">
        <is>
          <t>Snap25-IRES2-Cre;Ai14-464328</t>
        </is>
      </c>
      <c r="B112" s="7" t="inlineStr">
        <is>
          <t>adult</t>
        </is>
      </c>
      <c r="C112" s="7" t="inlineStr">
        <is>
          <t>P69</t>
        </is>
      </c>
      <c r="D112" s="7" t="inlineStr">
        <is>
          <t>F</t>
        </is>
      </c>
      <c r="E112" s="7" t="inlineStr">
        <is>
          <t>327 Oligo NN</t>
        </is>
      </c>
      <c r="F112" s="13" t="n">
        <v>1173</v>
      </c>
      <c r="G112" s="8" t="n">
        <v>8.381638000000001</v>
      </c>
      <c r="H112" s="8" t="n">
        <v>8.721076999999999</v>
      </c>
      <c r="I112" s="14" t="n">
        <v>0.9710144927536232</v>
      </c>
    </row>
    <row r="113">
      <c r="A113" s="7" t="inlineStr">
        <is>
          <t>Snap25-IRES2-Cre;Ai14-464754</t>
        </is>
      </c>
      <c r="B113" s="7" t="inlineStr">
        <is>
          <t>adult</t>
        </is>
      </c>
      <c r="C113" s="7" t="inlineStr">
        <is>
          <t>P67</t>
        </is>
      </c>
      <c r="D113" s="7" t="inlineStr">
        <is>
          <t>M</t>
        </is>
      </c>
      <c r="E113" s="7" t="inlineStr">
        <is>
          <t>327 Oligo NN</t>
        </is>
      </c>
      <c r="F113" s="13" t="n">
        <v>1899</v>
      </c>
      <c r="G113" s="8" t="n">
        <v>8.088357</v>
      </c>
      <c r="H113" s="8" t="n">
        <v>8.623860000000001</v>
      </c>
      <c r="I113" s="14" t="n">
        <v>0.9441811479726172</v>
      </c>
    </row>
    <row r="114">
      <c r="A114" s="7" t="inlineStr">
        <is>
          <t>Snap25-IRES2-Cre;Ai14-468425</t>
        </is>
      </c>
      <c r="B114" s="7" t="inlineStr">
        <is>
          <t>adult</t>
        </is>
      </c>
      <c r="C114" s="7" t="inlineStr">
        <is>
          <t>P62</t>
        </is>
      </c>
      <c r="D114" s="7" t="inlineStr">
        <is>
          <t>M</t>
        </is>
      </c>
      <c r="E114" s="7" t="inlineStr">
        <is>
          <t>327 Oligo NN</t>
        </is>
      </c>
      <c r="F114" s="13" t="n">
        <v>117</v>
      </c>
      <c r="G114" s="8" t="n">
        <v>7.489551</v>
      </c>
      <c r="H114" s="8" t="n">
        <v>8.125493000000001</v>
      </c>
      <c r="I114" s="14" t="n">
        <v>0.9401709401709402</v>
      </c>
    </row>
    <row r="115">
      <c r="A115" s="7" t="inlineStr">
        <is>
          <t>Snap25-IRES2-Cre;Ai14-469515</t>
        </is>
      </c>
      <c r="B115" s="7" t="inlineStr">
        <is>
          <t>adult</t>
        </is>
      </c>
      <c r="C115" s="7" t="inlineStr">
        <is>
          <t>P64</t>
        </is>
      </c>
      <c r="D115" s="7" t="inlineStr">
        <is>
          <t>M</t>
        </is>
      </c>
      <c r="E115" s="7" t="inlineStr">
        <is>
          <t>327 Oligo NN</t>
        </is>
      </c>
      <c r="F115" s="13" t="n">
        <v>273</v>
      </c>
      <c r="G115" s="8" t="n">
        <v>7.589445</v>
      </c>
      <c r="H115" s="8" t="n">
        <v>8.070247</v>
      </c>
      <c r="I115" s="14" t="n">
        <v>0.9267399267399268</v>
      </c>
    </row>
    <row r="116">
      <c r="A116" s="7" t="inlineStr">
        <is>
          <t>Snap25-IRES2-Cre;Ai14-469518</t>
        </is>
      </c>
      <c r="B116" s="7" t="inlineStr">
        <is>
          <t>adult</t>
        </is>
      </c>
      <c r="C116" s="7" t="inlineStr">
        <is>
          <t>P58</t>
        </is>
      </c>
      <c r="D116" s="7" t="inlineStr">
        <is>
          <t>F</t>
        </is>
      </c>
      <c r="E116" s="7" t="inlineStr">
        <is>
          <t>327 Oligo NN</t>
        </is>
      </c>
      <c r="F116" s="13" t="n">
        <v>169</v>
      </c>
      <c r="G116" s="8" t="n">
        <v>7.664927</v>
      </c>
      <c r="H116" s="8" t="n">
        <v>8.142835</v>
      </c>
      <c r="I116" s="14" t="n">
        <v>0.940828402366864</v>
      </c>
    </row>
    <row r="117">
      <c r="A117" s="7" t="inlineStr">
        <is>
          <t>Snap25-IRES2-Cre;Ai14-473084</t>
        </is>
      </c>
      <c r="B117" s="7" t="inlineStr">
        <is>
          <t>adult</t>
        </is>
      </c>
      <c r="C117" s="7" t="inlineStr">
        <is>
          <t>P68</t>
        </is>
      </c>
      <c r="D117" s="7" t="inlineStr">
        <is>
          <t>F</t>
        </is>
      </c>
      <c r="E117" s="7" t="inlineStr">
        <is>
          <t>327 Oligo NN</t>
        </is>
      </c>
      <c r="F117" s="13" t="n">
        <v>320</v>
      </c>
      <c r="G117" s="8" t="n">
        <v>7.4315886</v>
      </c>
      <c r="H117" s="8" t="n">
        <v>8.090012</v>
      </c>
      <c r="I117" s="14" t="n">
        <v>0.915625</v>
      </c>
    </row>
    <row r="118">
      <c r="A118" s="7" t="inlineStr">
        <is>
          <t>Snap25-IRES2-Cre;Ai14-473981</t>
        </is>
      </c>
      <c r="B118" s="7" t="inlineStr">
        <is>
          <t>adult</t>
        </is>
      </c>
      <c r="C118" s="7" t="inlineStr">
        <is>
          <t>9 wks</t>
        </is>
      </c>
      <c r="D118" s="7" t="inlineStr">
        <is>
          <t>M</t>
        </is>
      </c>
      <c r="E118" s="7" t="inlineStr">
        <is>
          <t>327 Oligo NN</t>
        </is>
      </c>
      <c r="F118" s="13" t="n">
        <v>1465</v>
      </c>
      <c r="G118" s="8" t="n">
        <v>7.7438107</v>
      </c>
      <c r="H118" s="8" t="n">
        <v>8.294121000000001</v>
      </c>
      <c r="I118" s="14" t="n">
        <v>0.9324232081911262</v>
      </c>
    </row>
    <row r="119">
      <c r="A119" s="7" t="inlineStr">
        <is>
          <t>Snap25-IRES2-Cre;Ai14-482568</t>
        </is>
      </c>
      <c r="B119" s="7" t="inlineStr">
        <is>
          <t>adult</t>
        </is>
      </c>
      <c r="C119" s="7" t="inlineStr">
        <is>
          <t>P56</t>
        </is>
      </c>
      <c r="D119" s="7" t="inlineStr">
        <is>
          <t>F</t>
        </is>
      </c>
      <c r="E119" s="7" t="inlineStr">
        <is>
          <t>327 Oligo NN</t>
        </is>
      </c>
      <c r="F119" s="13" t="n">
        <v>1030</v>
      </c>
      <c r="G119" s="8" t="n">
        <v>8.026999999999999</v>
      </c>
      <c r="H119" s="8" t="n">
        <v>8.513078999999999</v>
      </c>
      <c r="I119" s="14" t="n">
        <v>0.9495145631067962</v>
      </c>
    </row>
    <row r="120">
      <c r="A120" s="7" t="inlineStr">
        <is>
          <t>Snap25-IRES2-Cre;Ai14-489429</t>
        </is>
      </c>
      <c r="B120" s="7" t="inlineStr">
        <is>
          <t>adult</t>
        </is>
      </c>
      <c r="C120" s="7" t="inlineStr">
        <is>
          <t>P53</t>
        </is>
      </c>
      <c r="D120" s="7" t="inlineStr">
        <is>
          <t>F</t>
        </is>
      </c>
      <c r="E120" s="7" t="inlineStr">
        <is>
          <t>327 Oligo NN</t>
        </is>
      </c>
      <c r="F120" s="13" t="n">
        <v>2595</v>
      </c>
      <c r="G120" s="8" t="n">
        <v>7.586449</v>
      </c>
      <c r="H120" s="8" t="n">
        <v>8.204723</v>
      </c>
      <c r="I120" s="14" t="n">
        <v>0.9263969171483624</v>
      </c>
    </row>
    <row r="121">
      <c r="A121" s="7" t="inlineStr">
        <is>
          <t>Snap25-IRES2-Cre;Ai14-490936</t>
        </is>
      </c>
      <c r="B121" s="7" t="inlineStr">
        <is>
          <t>adult</t>
        </is>
      </c>
      <c r="C121" s="7" t="inlineStr">
        <is>
          <t>P56</t>
        </is>
      </c>
      <c r="D121" s="7" t="inlineStr">
        <is>
          <t>M</t>
        </is>
      </c>
      <c r="E121" s="7" t="inlineStr">
        <is>
          <t>327 Oligo NN</t>
        </is>
      </c>
      <c r="F121" s="13" t="n">
        <v>1032</v>
      </c>
      <c r="G121" s="8" t="n">
        <v>7.6694374</v>
      </c>
      <c r="H121" s="8" t="n">
        <v>8.161571500000001</v>
      </c>
      <c r="I121" s="14" t="n">
        <v>0.938953488372093</v>
      </c>
    </row>
    <row r="122">
      <c r="A122" s="7" t="inlineStr">
        <is>
          <t>Snap25-IRES2-Cre;Ai14-492080</t>
        </is>
      </c>
      <c r="B122" s="7" t="inlineStr">
        <is>
          <t>adult</t>
        </is>
      </c>
      <c r="C122" s="7" t="inlineStr">
        <is>
          <t>P56</t>
        </is>
      </c>
      <c r="D122" s="7" t="inlineStr">
        <is>
          <t>F</t>
        </is>
      </c>
      <c r="E122" s="7" t="inlineStr">
        <is>
          <t>327 Oligo NN</t>
        </is>
      </c>
      <c r="F122" s="13" t="n">
        <v>996</v>
      </c>
      <c r="G122" s="8" t="n">
        <v>7.470252</v>
      </c>
      <c r="H122" s="8" t="n">
        <v>8.038873000000001</v>
      </c>
      <c r="I122" s="14" t="n">
        <v>0.9216867469879518</v>
      </c>
    </row>
    <row r="123">
      <c r="A123" s="7" t="inlineStr">
        <is>
          <t>Snap25-IRES2-Cre;Ai14-499298</t>
        </is>
      </c>
      <c r="B123" s="7" t="inlineStr">
        <is>
          <t>adult</t>
        </is>
      </c>
      <c r="C123" s="7" t="inlineStr">
        <is>
          <t>P67</t>
        </is>
      </c>
      <c r="D123" s="7" t="inlineStr">
        <is>
          <t>F</t>
        </is>
      </c>
      <c r="E123" s="7" t="inlineStr">
        <is>
          <t>327 Oligo NN</t>
        </is>
      </c>
      <c r="F123" s="13" t="n">
        <v>1583</v>
      </c>
      <c r="G123" s="8" t="n">
        <v>8.169921</v>
      </c>
      <c r="H123" s="8" t="n">
        <v>8.664249</v>
      </c>
      <c r="I123" s="14" t="n">
        <v>0.952621604548326</v>
      </c>
    </row>
    <row r="124">
      <c r="A124" s="7" t="inlineStr">
        <is>
          <t>Snap25-IRES2-Cre;Ai14-500027</t>
        </is>
      </c>
      <c r="B124" s="7" t="inlineStr">
        <is>
          <t>adult</t>
        </is>
      </c>
      <c r="C124" s="7" t="inlineStr">
        <is>
          <t>P67</t>
        </is>
      </c>
      <c r="D124" s="7" t="inlineStr">
        <is>
          <t>M</t>
        </is>
      </c>
      <c r="E124" s="7" t="inlineStr">
        <is>
          <t>327 Oligo NN</t>
        </is>
      </c>
      <c r="F124" s="13" t="n">
        <v>2809</v>
      </c>
      <c r="G124" s="8" t="n">
        <v>8.283333000000001</v>
      </c>
      <c r="H124" s="8" t="n">
        <v>8.692481000000001</v>
      </c>
      <c r="I124" s="14" t="n">
        <v>0.9654681381274476</v>
      </c>
    </row>
    <row r="125">
      <c r="A125" s="7" t="inlineStr">
        <is>
          <t>Snap25-IRES2-Cre;Ai14-504230</t>
        </is>
      </c>
      <c r="B125" s="7" t="inlineStr">
        <is>
          <t>adult</t>
        </is>
      </c>
      <c r="C125" s="7" t="inlineStr">
        <is>
          <t>9 wks</t>
        </is>
      </c>
      <c r="D125" s="7" t="inlineStr">
        <is>
          <t>M</t>
        </is>
      </c>
      <c r="E125" s="7" t="inlineStr">
        <is>
          <t>327 Oligo NN</t>
        </is>
      </c>
      <c r="F125" s="13" t="n">
        <v>1025</v>
      </c>
      <c r="G125" s="8" t="n">
        <v>8.17305</v>
      </c>
      <c r="H125" s="8" t="n">
        <v>8.489281</v>
      </c>
      <c r="I125" s="14" t="n">
        <v>0.968780487804878</v>
      </c>
    </row>
    <row r="126">
      <c r="A126" s="7" t="inlineStr">
        <is>
          <t>Snap25-IRES2-Cre;Ai14-504535</t>
        </is>
      </c>
      <c r="B126" s="7" t="inlineStr">
        <is>
          <t>adult</t>
        </is>
      </c>
      <c r="C126" s="7" t="inlineStr">
        <is>
          <t>P67</t>
        </is>
      </c>
      <c r="D126" s="7" t="inlineStr">
        <is>
          <t>F</t>
        </is>
      </c>
      <c r="E126" s="7" t="inlineStr">
        <is>
          <t>327 Oligo NN</t>
        </is>
      </c>
      <c r="F126" s="13" t="n">
        <v>1010</v>
      </c>
      <c r="G126" s="8" t="n">
        <v>8.330812</v>
      </c>
      <c r="H126" s="8" t="n">
        <v>8.659381</v>
      </c>
      <c r="I126" s="14" t="n">
        <v>0.9683168316831684</v>
      </c>
    </row>
    <row r="127">
      <c r="A127" s="7" t="inlineStr">
        <is>
          <t>Snap25-IRES2-Cre;Ai14-506920</t>
        </is>
      </c>
      <c r="B127" s="7" t="inlineStr">
        <is>
          <t>adult</t>
        </is>
      </c>
      <c r="C127" s="7" t="inlineStr">
        <is>
          <t>P59</t>
        </is>
      </c>
      <c r="D127" s="7" t="inlineStr">
        <is>
          <t>M</t>
        </is>
      </c>
      <c r="E127" s="7" t="inlineStr">
        <is>
          <t>327 Oligo NN</t>
        </is>
      </c>
      <c r="F127" s="13" t="n">
        <v>1597</v>
      </c>
      <c r="G127" s="8" t="n">
        <v>8.308396999999999</v>
      </c>
      <c r="H127" s="8" t="n">
        <v>8.808192999999999</v>
      </c>
      <c r="I127" s="14" t="n">
        <v>0.9555416405760802</v>
      </c>
    </row>
    <row r="128">
      <c r="A128" s="7" t="inlineStr">
        <is>
          <t>Snap25-IRES2-Cre;Ai14-538745</t>
        </is>
      </c>
      <c r="B128" s="7" t="inlineStr">
        <is>
          <t>adult</t>
        </is>
      </c>
      <c r="C128" s="7" t="inlineStr">
        <is>
          <t>P57</t>
        </is>
      </c>
      <c r="D128" s="7" t="inlineStr">
        <is>
          <t>F</t>
        </is>
      </c>
      <c r="E128" s="7" t="inlineStr">
        <is>
          <t>327 Oligo NN</t>
        </is>
      </c>
      <c r="F128" s="13" t="n">
        <v>2461</v>
      </c>
      <c r="G128" s="8" t="n">
        <v>7.884045</v>
      </c>
      <c r="H128" s="8" t="n">
        <v>8.425255</v>
      </c>
      <c r="I128" s="14" t="n">
        <v>0.9439252336448598</v>
      </c>
    </row>
    <row r="129">
      <c r="A129" s="7" t="inlineStr">
        <is>
          <t>Snap25-IRES2-Cre;Ai14-540565</t>
        </is>
      </c>
      <c r="B129" s="7" t="inlineStr">
        <is>
          <t>adult</t>
        </is>
      </c>
      <c r="C129" s="7" t="inlineStr">
        <is>
          <t>P54</t>
        </is>
      </c>
      <c r="D129" s="7" t="inlineStr">
        <is>
          <t>M</t>
        </is>
      </c>
      <c r="E129" s="7" t="inlineStr">
        <is>
          <t>327 Oligo NN</t>
        </is>
      </c>
      <c r="F129" s="13" t="n">
        <v>2191</v>
      </c>
      <c r="G129" s="8" t="n">
        <v>8.375705</v>
      </c>
      <c r="H129" s="8" t="n">
        <v>8.76261</v>
      </c>
      <c r="I129" s="14" t="n">
        <v>0.9707895937927888</v>
      </c>
    </row>
    <row r="130">
      <c r="A130" s="7" t="inlineStr">
        <is>
          <t>Snap25-IRES2-Cre;Ai14-540566</t>
        </is>
      </c>
      <c r="B130" s="7" t="inlineStr">
        <is>
          <t>adult</t>
        </is>
      </c>
      <c r="C130" s="7" t="inlineStr">
        <is>
          <t>P61</t>
        </is>
      </c>
      <c r="D130" s="7" t="inlineStr">
        <is>
          <t>F</t>
        </is>
      </c>
      <c r="E130" s="7" t="inlineStr">
        <is>
          <t>327 Oligo NN</t>
        </is>
      </c>
      <c r="F130" s="13" t="n">
        <v>306</v>
      </c>
      <c r="G130" s="8" t="n">
        <v>7.3154864</v>
      </c>
      <c r="H130" s="8" t="n">
        <v>8.090210000000001</v>
      </c>
      <c r="I130" s="14" t="n">
        <v>0.9019607843137256</v>
      </c>
    </row>
    <row r="131">
      <c r="A131" s="7" t="inlineStr">
        <is>
          <t>Snap25-IRES2-Cre;Ai14-544400</t>
        </is>
      </c>
      <c r="B131" s="7" t="inlineStr">
        <is>
          <t>adult</t>
        </is>
      </c>
      <c r="C131" s="7" t="inlineStr">
        <is>
          <t>P58</t>
        </is>
      </c>
      <c r="D131" s="7" t="inlineStr">
        <is>
          <t>F</t>
        </is>
      </c>
      <c r="E131" s="7" t="inlineStr">
        <is>
          <t>327 Oligo NN</t>
        </is>
      </c>
      <c r="F131" s="13" t="n">
        <v>1656</v>
      </c>
      <c r="G131" s="8" t="n">
        <v>7.6936493</v>
      </c>
      <c r="H131" s="8" t="n">
        <v>8.245908999999999</v>
      </c>
      <c r="I131" s="14" t="n">
        <v>0.9341787439613528</v>
      </c>
    </row>
    <row r="132">
      <c r="A132" s="7" t="inlineStr">
        <is>
          <t>Snap25-IRES2-Cre;Ai14-546762</t>
        </is>
      </c>
      <c r="B132" s="7" t="inlineStr">
        <is>
          <t>adult</t>
        </is>
      </c>
      <c r="C132" s="7" t="inlineStr">
        <is>
          <t>P55</t>
        </is>
      </c>
      <c r="D132" s="7" t="inlineStr">
        <is>
          <t>F</t>
        </is>
      </c>
      <c r="E132" s="7" t="inlineStr">
        <is>
          <t>327 Oligo NN</t>
        </is>
      </c>
      <c r="F132" s="13" t="n">
        <v>115</v>
      </c>
      <c r="G132" s="8" t="n">
        <v>6.184114</v>
      </c>
      <c r="H132" s="8" t="n">
        <v>7.0279074</v>
      </c>
      <c r="I132" s="14" t="n">
        <v>0.8260869565217391</v>
      </c>
    </row>
    <row r="133">
      <c r="A133" s="7" t="inlineStr">
        <is>
          <t>Snap25-IRES2-Cre;Ai14-546799</t>
        </is>
      </c>
      <c r="B133" s="7" t="inlineStr">
        <is>
          <t>adult</t>
        </is>
      </c>
      <c r="C133" s="7" t="inlineStr">
        <is>
          <t>P62</t>
        </is>
      </c>
      <c r="D133" s="7" t="inlineStr">
        <is>
          <t>M</t>
        </is>
      </c>
      <c r="E133" s="7" t="inlineStr">
        <is>
          <t>327 Oligo NN</t>
        </is>
      </c>
      <c r="F133" s="13" t="n">
        <v>2106</v>
      </c>
      <c r="G133" s="8" t="n">
        <v>7.8355055</v>
      </c>
      <c r="H133" s="8" t="n">
        <v>8.537381</v>
      </c>
      <c r="I133" s="14" t="n">
        <v>0.9178537511870846</v>
      </c>
    </row>
    <row r="134">
      <c r="A134" s="7" t="inlineStr">
        <is>
          <t>Snap25-IRES2-Cre;Ai14-546812</t>
        </is>
      </c>
      <c r="B134" s="7" t="inlineStr">
        <is>
          <t>adult</t>
        </is>
      </c>
      <c r="C134" s="7" t="inlineStr">
        <is>
          <t>9 wks</t>
        </is>
      </c>
      <c r="D134" s="7" t="inlineStr">
        <is>
          <t>M</t>
        </is>
      </c>
      <c r="E134" s="7" t="inlineStr">
        <is>
          <t>327 Oligo NN</t>
        </is>
      </c>
      <c r="F134" s="13" t="n">
        <v>1328</v>
      </c>
      <c r="G134" s="8" t="n">
        <v>7.9313273</v>
      </c>
      <c r="H134" s="8" t="n">
        <v>8.570784</v>
      </c>
      <c r="I134" s="14" t="n">
        <v>0.9390060240963856</v>
      </c>
    </row>
    <row r="135">
      <c r="A135" s="7" t="inlineStr">
        <is>
          <t>Snap25-IRES2-Cre;Ai14-546813</t>
        </is>
      </c>
      <c r="B135" s="7" t="inlineStr">
        <is>
          <t>adult</t>
        </is>
      </c>
      <c r="C135" s="7" t="inlineStr">
        <is>
          <t>P69</t>
        </is>
      </c>
      <c r="D135" s="7" t="inlineStr">
        <is>
          <t>M</t>
        </is>
      </c>
      <c r="E135" s="7" t="inlineStr">
        <is>
          <t>327 Oligo NN</t>
        </is>
      </c>
      <c r="F135" s="13" t="n">
        <v>2352</v>
      </c>
      <c r="G135" s="8" t="n">
        <v>8.143708</v>
      </c>
      <c r="H135" s="8" t="n">
        <v>8.732433</v>
      </c>
      <c r="I135" s="14" t="n">
        <v>0.9426020408163264</v>
      </c>
    </row>
    <row r="136">
      <c r="A136" s="7" t="inlineStr">
        <is>
          <t>Snap25-IRES2-Cre;Ai14-548212</t>
        </is>
      </c>
      <c r="B136" s="7" t="inlineStr">
        <is>
          <t>adult</t>
        </is>
      </c>
      <c r="C136" s="7" t="inlineStr">
        <is>
          <t>P69</t>
        </is>
      </c>
      <c r="D136" s="7" t="inlineStr">
        <is>
          <t>F</t>
        </is>
      </c>
      <c r="E136" s="7" t="inlineStr">
        <is>
          <t>327 Oligo NN</t>
        </is>
      </c>
      <c r="F136" s="13" t="n">
        <v>1174</v>
      </c>
      <c r="G136" s="8" t="n">
        <v>8.079217</v>
      </c>
      <c r="H136" s="8" t="n">
        <v>8.669600000000001</v>
      </c>
      <c r="I136" s="14" t="n">
        <v>0.9471890971039182</v>
      </c>
    </row>
    <row r="137">
      <c r="A137" s="7" t="inlineStr">
        <is>
          <t>Snap25-IRES2-Cre;Ai14-549927</t>
        </is>
      </c>
      <c r="B137" s="7" t="inlineStr">
        <is>
          <t>adult</t>
        </is>
      </c>
      <c r="C137" s="7" t="inlineStr">
        <is>
          <t>P58</t>
        </is>
      </c>
      <c r="D137" s="7" t="inlineStr">
        <is>
          <t>M</t>
        </is>
      </c>
      <c r="E137" s="7" t="inlineStr">
        <is>
          <t>327 Oligo NN</t>
        </is>
      </c>
      <c r="F137" s="13" t="n">
        <v>1446</v>
      </c>
      <c r="G137" s="8" t="n">
        <v>8.251471</v>
      </c>
      <c r="H137" s="8" t="n">
        <v>8.702344999999999</v>
      </c>
      <c r="I137" s="14" t="n">
        <v>0.9543568464730292</v>
      </c>
    </row>
    <row r="138">
      <c r="A138" s="7" t="inlineStr">
        <is>
          <t>Snap25-IRES2-Cre;Ai14-549928</t>
        </is>
      </c>
      <c r="B138" s="7" t="inlineStr">
        <is>
          <t>adult</t>
        </is>
      </c>
      <c r="C138" s="7" t="inlineStr">
        <is>
          <t>P58</t>
        </is>
      </c>
      <c r="D138" s="7" t="inlineStr">
        <is>
          <t>M</t>
        </is>
      </c>
      <c r="E138" s="7" t="inlineStr">
        <is>
          <t>327 Oligo NN</t>
        </is>
      </c>
      <c r="F138" s="13" t="n">
        <v>1137</v>
      </c>
      <c r="G138" s="8" t="n">
        <v>8.152918</v>
      </c>
      <c r="H138" s="8" t="n">
        <v>8.692244000000001</v>
      </c>
      <c r="I138" s="14" t="n">
        <v>0.9489885664028144</v>
      </c>
    </row>
    <row r="139">
      <c r="A139" s="7" t="inlineStr">
        <is>
          <t>Snap25-IRES2-Cre;Ai14-550468</t>
        </is>
      </c>
      <c r="B139" s="7" t="inlineStr">
        <is>
          <t>adult</t>
        </is>
      </c>
      <c r="C139" s="7" t="inlineStr">
        <is>
          <t>P69</t>
        </is>
      </c>
      <c r="D139" s="7" t="inlineStr">
        <is>
          <t>F</t>
        </is>
      </c>
      <c r="E139" s="7" t="inlineStr">
        <is>
          <t>327 Oligo NN</t>
        </is>
      </c>
      <c r="F139" s="13" t="n">
        <v>2724</v>
      </c>
      <c r="G139" s="8" t="n">
        <v>7.681249</v>
      </c>
      <c r="H139" s="8" t="n">
        <v>8.141296000000001</v>
      </c>
      <c r="I139" s="14" t="n">
        <v>0.9482378854625551</v>
      </c>
    </row>
    <row r="140">
      <c r="A140" s="7" t="inlineStr">
        <is>
          <t>Snap25-IRES2-Cre;Ai14-550848</t>
        </is>
      </c>
      <c r="B140" s="7" t="inlineStr">
        <is>
          <t>adult</t>
        </is>
      </c>
      <c r="C140" s="7" t="inlineStr">
        <is>
          <t>P59</t>
        </is>
      </c>
      <c r="D140" s="7" t="inlineStr">
        <is>
          <t>M</t>
        </is>
      </c>
      <c r="E140" s="7" t="inlineStr">
        <is>
          <t>327 Oligo NN</t>
        </is>
      </c>
      <c r="F140" s="13" t="n">
        <v>2649</v>
      </c>
      <c r="G140" s="8" t="n">
        <v>7.7571697</v>
      </c>
      <c r="H140" s="8" t="n">
        <v>8.262524000000001</v>
      </c>
      <c r="I140" s="14" t="n">
        <v>0.9403548508871272</v>
      </c>
    </row>
    <row r="141">
      <c r="A141" s="7" t="inlineStr">
        <is>
          <t>Snap25-IRES2-Cre;Ai14-550850</t>
        </is>
      </c>
      <c r="B141" s="7" t="inlineStr">
        <is>
          <t>adult</t>
        </is>
      </c>
      <c r="C141" s="7" t="inlineStr">
        <is>
          <t>P53</t>
        </is>
      </c>
      <c r="D141" s="7" t="inlineStr">
        <is>
          <t>F</t>
        </is>
      </c>
      <c r="E141" s="7" t="inlineStr">
        <is>
          <t>327 Oligo NN</t>
        </is>
      </c>
      <c r="F141" s="13" t="n">
        <v>1141</v>
      </c>
      <c r="G141" s="8" t="n">
        <v>8.159335</v>
      </c>
      <c r="H141" s="8" t="n">
        <v>8.687856</v>
      </c>
      <c r="I141" s="14" t="n">
        <v>0.9526730937773884</v>
      </c>
    </row>
    <row r="142">
      <c r="A142" s="7" t="inlineStr">
        <is>
          <t>Snap25-IRES2-Cre;Ai14-551016</t>
        </is>
      </c>
      <c r="B142" s="7" t="inlineStr">
        <is>
          <t>adult</t>
        </is>
      </c>
      <c r="C142" s="7" t="inlineStr">
        <is>
          <t>P59</t>
        </is>
      </c>
      <c r="D142" s="7" t="inlineStr">
        <is>
          <t>M</t>
        </is>
      </c>
      <c r="E142" s="7" t="inlineStr">
        <is>
          <t>327 Oligo NN</t>
        </is>
      </c>
      <c r="F142" s="13" t="n">
        <v>2717</v>
      </c>
      <c r="G142" s="8" t="n">
        <v>7.73087</v>
      </c>
      <c r="H142" s="8" t="n">
        <v>8.322179</v>
      </c>
      <c r="I142" s="14" t="n">
        <v>0.9337504600662496</v>
      </c>
    </row>
    <row r="143">
      <c r="A143" s="7" t="inlineStr">
        <is>
          <t>Snap25-IRES2-Cre;Ai14-551628</t>
        </is>
      </c>
      <c r="B143" s="7" t="inlineStr">
        <is>
          <t>adult</t>
        </is>
      </c>
      <c r="C143" s="7" t="inlineStr">
        <is>
          <t>P62</t>
        </is>
      </c>
      <c r="D143" s="7" t="inlineStr">
        <is>
          <t>M</t>
        </is>
      </c>
      <c r="E143" s="7" t="inlineStr">
        <is>
          <t>327 Oligo NN</t>
        </is>
      </c>
      <c r="F143" s="13" t="n">
        <v>2481</v>
      </c>
      <c r="G143" s="8" t="n">
        <v>8.189451999999999</v>
      </c>
      <c r="H143" s="8" t="n">
        <v>8.565104</v>
      </c>
      <c r="I143" s="14" t="n">
        <v>0.9641273679967756</v>
      </c>
    </row>
    <row r="144">
      <c r="A144" s="7" t="inlineStr">
        <is>
          <t>Snap25-IRES2-Cre;Ai14-551629</t>
        </is>
      </c>
      <c r="B144" s="7" t="inlineStr">
        <is>
          <t>adult</t>
        </is>
      </c>
      <c r="C144" s="7" t="inlineStr">
        <is>
          <t>P61</t>
        </is>
      </c>
      <c r="D144" s="7" t="inlineStr">
        <is>
          <t>F</t>
        </is>
      </c>
      <c r="E144" s="7" t="inlineStr">
        <is>
          <t>327 Oligo NN</t>
        </is>
      </c>
      <c r="F144" s="13" t="n">
        <v>3362</v>
      </c>
      <c r="G144" s="8" t="n">
        <v>8.233874999999999</v>
      </c>
      <c r="H144" s="8" t="n">
        <v>8.644147999999999</v>
      </c>
      <c r="I144" s="14" t="n">
        <v>0.9675788221296848</v>
      </c>
    </row>
    <row r="145">
      <c r="A145" s="7" t="inlineStr">
        <is>
          <t>Snap25-IRES2-Cre;Ai14-553672</t>
        </is>
      </c>
      <c r="B145" s="7" t="inlineStr">
        <is>
          <t>adult</t>
        </is>
      </c>
      <c r="C145" s="7" t="inlineStr">
        <is>
          <t>P55</t>
        </is>
      </c>
      <c r="D145" s="7" t="inlineStr">
        <is>
          <t>M</t>
        </is>
      </c>
      <c r="E145" s="7" t="inlineStr">
        <is>
          <t>327 Oligo NN</t>
        </is>
      </c>
      <c r="F145" s="13" t="n">
        <v>1347</v>
      </c>
      <c r="G145" s="8" t="n">
        <v>7.7214413</v>
      </c>
      <c r="H145" s="8" t="n">
        <v>8.065061</v>
      </c>
      <c r="I145" s="14" t="n">
        <v>0.9606533036377134</v>
      </c>
    </row>
    <row r="146">
      <c r="A146" s="7" t="inlineStr">
        <is>
          <t>Snap25-IRES2-Cre;Ai14-553676</t>
        </is>
      </c>
      <c r="B146" s="7" t="inlineStr">
        <is>
          <t>adult</t>
        </is>
      </c>
      <c r="C146" s="7" t="inlineStr">
        <is>
          <t>P54</t>
        </is>
      </c>
      <c r="D146" s="7" t="inlineStr">
        <is>
          <t>F</t>
        </is>
      </c>
      <c r="E146" s="7" t="inlineStr">
        <is>
          <t>327 Oligo NN</t>
        </is>
      </c>
      <c r="F146" s="13" t="n">
        <v>3758</v>
      </c>
      <c r="G146" s="8" t="n">
        <v>8.258812000000001</v>
      </c>
      <c r="H146" s="8" t="n">
        <v>8.650029999999999</v>
      </c>
      <c r="I146" s="14" t="n">
        <v>0.9691325172964342</v>
      </c>
    </row>
    <row r="147">
      <c r="A147" s="7" t="inlineStr">
        <is>
          <t>Snap25-IRES2-Cre;Ai14-553679</t>
        </is>
      </c>
      <c r="B147" s="7" t="inlineStr">
        <is>
          <t>adult</t>
        </is>
      </c>
      <c r="C147" s="7" t="inlineStr">
        <is>
          <t>P59</t>
        </is>
      </c>
      <c r="D147" s="7" t="inlineStr">
        <is>
          <t>M</t>
        </is>
      </c>
      <c r="E147" s="7" t="inlineStr">
        <is>
          <t>327 Oligo NN</t>
        </is>
      </c>
      <c r="F147" s="13" t="n">
        <v>371</v>
      </c>
      <c r="G147" s="8" t="n">
        <v>7.7719693</v>
      </c>
      <c r="H147" s="8" t="n">
        <v>8.452381000000001</v>
      </c>
      <c r="I147" s="14" t="n">
        <v>0.935309973045822</v>
      </c>
    </row>
    <row r="148">
      <c r="A148" s="7" t="inlineStr">
        <is>
          <t>Snap25-IRES2-Cre;Ai14-554815</t>
        </is>
      </c>
      <c r="B148" s="7" t="inlineStr">
        <is>
          <t>adult</t>
        </is>
      </c>
      <c r="C148" s="7" t="inlineStr">
        <is>
          <t>P54</t>
        </is>
      </c>
      <c r="D148" s="7" t="inlineStr">
        <is>
          <t>F</t>
        </is>
      </c>
      <c r="E148" s="7" t="inlineStr">
        <is>
          <t>327 Oligo NN</t>
        </is>
      </c>
      <c r="F148" s="13" t="n">
        <v>725</v>
      </c>
      <c r="G148" s="8" t="n">
        <v>8.091352000000001</v>
      </c>
      <c r="H148" s="8" t="n">
        <v>8.596378</v>
      </c>
      <c r="I148" s="14" t="n">
        <v>0.9544827586206897</v>
      </c>
    </row>
    <row r="149">
      <c r="A149" s="7" t="inlineStr">
        <is>
          <t>Snap25-IRES2-Cre;Ai14-604611</t>
        </is>
      </c>
      <c r="B149" s="7" t="inlineStr">
        <is>
          <t>adult</t>
        </is>
      </c>
      <c r="C149" s="7" t="inlineStr">
        <is>
          <t>P64</t>
        </is>
      </c>
      <c r="D149" s="7" t="inlineStr">
        <is>
          <t>F</t>
        </is>
      </c>
      <c r="E149" s="7" t="inlineStr">
        <is>
          <t>327 Oligo NN</t>
        </is>
      </c>
      <c r="F149" s="13" t="n">
        <v>2148</v>
      </c>
      <c r="G149" s="8" t="n">
        <v>7.9494395</v>
      </c>
      <c r="H149" s="8" t="n">
        <v>8.471069</v>
      </c>
      <c r="I149" s="14" t="n">
        <v>0.9445996275605214</v>
      </c>
    </row>
    <row r="150">
      <c r="A150" s="7" t="inlineStr">
        <is>
          <t>Snap25-IRES2-Cre;Ai14-606115</t>
        </is>
      </c>
      <c r="B150" s="7" t="inlineStr">
        <is>
          <t>adult</t>
        </is>
      </c>
      <c r="C150" s="7" t="inlineStr">
        <is>
          <t>P61</t>
        </is>
      </c>
      <c r="D150" s="7" t="inlineStr">
        <is>
          <t>M</t>
        </is>
      </c>
      <c r="E150" s="7" t="inlineStr">
        <is>
          <t>327 Oligo NN</t>
        </is>
      </c>
      <c r="F150" s="13" t="n">
        <v>1398</v>
      </c>
      <c r="G150" s="8" t="n">
        <v>8.287134</v>
      </c>
      <c r="H150" s="8" t="n">
        <v>8.659356000000001</v>
      </c>
      <c r="I150" s="14" t="n">
        <v>0.969241773962804</v>
      </c>
    </row>
    <row r="151">
      <c r="A151" s="7" t="inlineStr">
        <is>
          <t>Snap25-IRES2-Cre;Ai14-608855</t>
        </is>
      </c>
      <c r="B151" s="7" t="inlineStr">
        <is>
          <t>adult</t>
        </is>
      </c>
      <c r="C151" s="7" t="inlineStr">
        <is>
          <t>P69</t>
        </is>
      </c>
      <c r="D151" s="7" t="inlineStr">
        <is>
          <t>M</t>
        </is>
      </c>
      <c r="E151" s="7" t="inlineStr">
        <is>
          <t>327 Oligo NN</t>
        </is>
      </c>
      <c r="F151" s="13" t="n">
        <v>4100</v>
      </c>
      <c r="G151" s="8" t="n">
        <v>8.083167</v>
      </c>
      <c r="H151" s="8" t="n">
        <v>8.513457000000001</v>
      </c>
      <c r="I151" s="14" t="n">
        <v>0.958780487804878</v>
      </c>
    </row>
    <row r="152">
      <c r="A152" s="7" t="inlineStr">
        <is>
          <t>Snap25-IRES2-Cre;Ai14-618176</t>
        </is>
      </c>
      <c r="B152" s="7" t="inlineStr">
        <is>
          <t>adult</t>
        </is>
      </c>
      <c r="C152" s="7" t="inlineStr">
        <is>
          <t>P65</t>
        </is>
      </c>
      <c r="D152" s="7" t="inlineStr">
        <is>
          <t>M</t>
        </is>
      </c>
      <c r="E152" s="7" t="inlineStr">
        <is>
          <t>327 Oligo NN</t>
        </is>
      </c>
      <c r="F152" s="13" t="n">
        <v>179</v>
      </c>
      <c r="G152" s="8" t="n">
        <v>7.8017335</v>
      </c>
      <c r="H152" s="8" t="n">
        <v>8.448534</v>
      </c>
      <c r="I152" s="14" t="n">
        <v>0.9273743016759776</v>
      </c>
    </row>
    <row r="153">
      <c r="A153" s="7" t="inlineStr">
        <is>
          <t>Snap25-IRES2-Cre;Ai14-619870</t>
        </is>
      </c>
      <c r="B153" s="7" t="inlineStr">
        <is>
          <t>adult</t>
        </is>
      </c>
      <c r="C153" s="7" t="inlineStr">
        <is>
          <t>P60</t>
        </is>
      </c>
      <c r="D153" s="7" t="inlineStr">
        <is>
          <t>F</t>
        </is>
      </c>
      <c r="E153" s="7" t="inlineStr">
        <is>
          <t>327 Oligo NN</t>
        </is>
      </c>
      <c r="F153" s="13" t="n">
        <v>518</v>
      </c>
      <c r="G153" s="8" t="n">
        <v>7.551188</v>
      </c>
      <c r="H153" s="8" t="n">
        <v>8.378399</v>
      </c>
      <c r="I153" s="14" t="n">
        <v>0.8976833976833977</v>
      </c>
    </row>
    <row r="154">
      <c r="A154" s="7" t="inlineStr">
        <is>
          <t>Snap25-IRES2-Cre;Ai14-621471</t>
        </is>
      </c>
      <c r="B154" s="7" t="inlineStr">
        <is>
          <t>adult</t>
        </is>
      </c>
      <c r="C154" s="7" t="inlineStr">
        <is>
          <t>P66</t>
        </is>
      </c>
      <c r="D154" s="7" t="inlineStr">
        <is>
          <t>F</t>
        </is>
      </c>
      <c r="E154" s="7" t="inlineStr">
        <is>
          <t>327 Oligo NN</t>
        </is>
      </c>
      <c r="F154" s="13" t="n">
        <v>22</v>
      </c>
      <c r="G154" s="8" t="n">
        <v>8.095545</v>
      </c>
      <c r="H154" s="8" t="n">
        <v>8.201423</v>
      </c>
      <c r="I154" s="14" t="n">
        <v>1</v>
      </c>
    </row>
    <row r="155">
      <c r="A155" s="7" t="inlineStr">
        <is>
          <t>C57BL/6J-592557</t>
        </is>
      </c>
      <c r="B155" s="7" t="inlineStr">
        <is>
          <t>aged</t>
        </is>
      </c>
      <c r="C155" s="7" t="inlineStr">
        <is>
          <t>18M</t>
        </is>
      </c>
      <c r="D155" s="7" t="inlineStr">
        <is>
          <t>M</t>
        </is>
      </c>
      <c r="E155" s="7" t="inlineStr">
        <is>
          <t>327 Oligo NN</t>
        </is>
      </c>
      <c r="F155" s="13" t="n">
        <v>75</v>
      </c>
      <c r="G155" s="8" t="n">
        <v>6.5122294</v>
      </c>
      <c r="H155" s="8" t="n">
        <v>7.6327944</v>
      </c>
      <c r="I155" s="14" t="n">
        <v>0.8133333333333334</v>
      </c>
    </row>
    <row r="156">
      <c r="A156" s="7" t="inlineStr">
        <is>
          <t>C57BL/6J-592558</t>
        </is>
      </c>
      <c r="B156" s="7" t="inlineStr">
        <is>
          <t>aged</t>
        </is>
      </c>
      <c r="C156" s="7" t="inlineStr">
        <is>
          <t>18M</t>
        </is>
      </c>
      <c r="D156" s="7" t="inlineStr">
        <is>
          <t>F</t>
        </is>
      </c>
      <c r="E156" s="7" t="inlineStr">
        <is>
          <t>327 Oligo NN</t>
        </is>
      </c>
      <c r="F156" s="13" t="n">
        <v>673</v>
      </c>
      <c r="G156" s="8" t="n">
        <v>8.310924</v>
      </c>
      <c r="H156" s="8" t="n">
        <v>8.814408999999999</v>
      </c>
      <c r="I156" s="14" t="n">
        <v>0.9554234769687964</v>
      </c>
    </row>
    <row r="157">
      <c r="A157" s="7" t="inlineStr">
        <is>
          <t>Snap25-IRES2-Cre;Ai14-443008</t>
        </is>
      </c>
      <c r="B157" s="7" t="inlineStr">
        <is>
          <t>aged</t>
        </is>
      </c>
      <c r="C157" s="7" t="inlineStr">
        <is>
          <t>P549</t>
        </is>
      </c>
      <c r="D157" s="7" t="inlineStr">
        <is>
          <t>F</t>
        </is>
      </c>
      <c r="E157" s="7" t="inlineStr">
        <is>
          <t>327 Oligo NN</t>
        </is>
      </c>
      <c r="F157" s="13" t="n">
        <v>969</v>
      </c>
      <c r="G157" s="8" t="n">
        <v>8.516672</v>
      </c>
      <c r="H157" s="8" t="n">
        <v>9.038739</v>
      </c>
      <c r="I157" s="14" t="n">
        <v>0.9473684210526316</v>
      </c>
    </row>
    <row r="158">
      <c r="A158" s="7" t="inlineStr">
        <is>
          <t>Snap25-IRES2-Cre;Ai14-450091</t>
        </is>
      </c>
      <c r="B158" s="7" t="inlineStr">
        <is>
          <t>aged</t>
        </is>
      </c>
      <c r="C158" s="7" t="inlineStr">
        <is>
          <t>P547</t>
        </is>
      </c>
      <c r="D158" s="7" t="inlineStr">
        <is>
          <t>F</t>
        </is>
      </c>
      <c r="E158" s="7" t="inlineStr">
        <is>
          <t>327 Oligo NN</t>
        </is>
      </c>
      <c r="F158" s="13" t="n">
        <v>3088</v>
      </c>
      <c r="G158" s="8" t="n">
        <v>8.067149000000001</v>
      </c>
      <c r="H158" s="8" t="n">
        <v>8.640281</v>
      </c>
      <c r="I158" s="14" t="n">
        <v>0.9378238341968912</v>
      </c>
    </row>
    <row r="159">
      <c r="A159" s="7" t="inlineStr">
        <is>
          <t>Snap25-IRES2-Cre;Ai14-451986</t>
        </is>
      </c>
      <c r="B159" s="7" t="inlineStr">
        <is>
          <t>aged</t>
        </is>
      </c>
      <c r="C159" s="7" t="inlineStr">
        <is>
          <t>P540</t>
        </is>
      </c>
      <c r="D159" s="7" t="inlineStr">
        <is>
          <t>F</t>
        </is>
      </c>
      <c r="E159" s="7" t="inlineStr">
        <is>
          <t>327 Oligo NN</t>
        </is>
      </c>
      <c r="F159" s="13" t="n">
        <v>798</v>
      </c>
      <c r="G159" s="8" t="n">
        <v>8.258597</v>
      </c>
      <c r="H159" s="8" t="n">
        <v>8.641764</v>
      </c>
      <c r="I159" s="14" t="n">
        <v>0.9636591478696742</v>
      </c>
    </row>
    <row r="160">
      <c r="A160" s="7" t="inlineStr">
        <is>
          <t>Snap25-IRES2-Cre;Ai14-452095</t>
        </is>
      </c>
      <c r="B160" s="7" t="inlineStr">
        <is>
          <t>aged</t>
        </is>
      </c>
      <c r="C160" s="7" t="inlineStr">
        <is>
          <t>P540</t>
        </is>
      </c>
      <c r="D160" s="7" t="inlineStr">
        <is>
          <t>F</t>
        </is>
      </c>
      <c r="E160" s="7" t="inlineStr">
        <is>
          <t>327 Oligo NN</t>
        </is>
      </c>
      <c r="F160" s="13" t="n">
        <v>4536</v>
      </c>
      <c r="G160" s="8" t="n">
        <v>8.180052</v>
      </c>
      <c r="H160" s="8" t="n">
        <v>8.639303</v>
      </c>
      <c r="I160" s="14" t="n">
        <v>0.9561287477954143</v>
      </c>
    </row>
    <row r="161">
      <c r="A161" s="7" t="inlineStr">
        <is>
          <t>Snap25-IRES2-Cre;Ai14-452096</t>
        </is>
      </c>
      <c r="B161" s="7" t="inlineStr">
        <is>
          <t>aged</t>
        </is>
      </c>
      <c r="C161" s="7" t="inlineStr">
        <is>
          <t>P540</t>
        </is>
      </c>
      <c r="D161" s="7" t="inlineStr">
        <is>
          <t>F</t>
        </is>
      </c>
      <c r="E161" s="7" t="inlineStr">
        <is>
          <t>327 Oligo NN</t>
        </is>
      </c>
      <c r="F161" s="13" t="n">
        <v>1161</v>
      </c>
      <c r="G161" s="8" t="n">
        <v>8.316756</v>
      </c>
      <c r="H161" s="8" t="n">
        <v>8.843113000000001</v>
      </c>
      <c r="I161" s="14" t="n">
        <v>0.9474590869939707</v>
      </c>
    </row>
    <row r="162">
      <c r="A162" s="7" t="inlineStr">
        <is>
          <t>Snap25-IRES2-Cre;Ai14-452709</t>
        </is>
      </c>
      <c r="B162" s="7" t="inlineStr">
        <is>
          <t>aged</t>
        </is>
      </c>
      <c r="C162" s="7" t="inlineStr">
        <is>
          <t>P550</t>
        </is>
      </c>
      <c r="D162" s="7" t="inlineStr">
        <is>
          <t>M</t>
        </is>
      </c>
      <c r="E162" s="7" t="inlineStr">
        <is>
          <t>327 Oligo NN</t>
        </is>
      </c>
      <c r="F162" s="13" t="n">
        <v>2273</v>
      </c>
      <c r="G162" s="8" t="n">
        <v>8.235797</v>
      </c>
      <c r="H162" s="8" t="n">
        <v>8.700888000000001</v>
      </c>
      <c r="I162" s="14" t="n">
        <v>0.9542454905411351</v>
      </c>
    </row>
    <row r="163">
      <c r="A163" s="7" t="inlineStr">
        <is>
          <t>Snap25-IRES2-Cre;Ai14-452710</t>
        </is>
      </c>
      <c r="B163" s="7" t="inlineStr">
        <is>
          <t>aged</t>
        </is>
      </c>
      <c r="C163" s="7" t="inlineStr">
        <is>
          <t>P543</t>
        </is>
      </c>
      <c r="D163" s="7" t="inlineStr">
        <is>
          <t>M</t>
        </is>
      </c>
      <c r="E163" s="7" t="inlineStr">
        <is>
          <t>327 Oligo NN</t>
        </is>
      </c>
      <c r="F163" s="13" t="n">
        <v>738</v>
      </c>
      <c r="G163" s="8" t="n">
        <v>8.339767</v>
      </c>
      <c r="H163" s="8" t="n">
        <v>8.875908000000001</v>
      </c>
      <c r="I163" s="14" t="n">
        <v>0.9444444444444444</v>
      </c>
    </row>
    <row r="164">
      <c r="A164" s="7" t="inlineStr">
        <is>
          <t>Snap25-IRES2-Cre;Ai14-452711</t>
        </is>
      </c>
      <c r="B164" s="7" t="inlineStr">
        <is>
          <t>aged</t>
        </is>
      </c>
      <c r="C164" s="7" t="inlineStr">
        <is>
          <t>P542</t>
        </is>
      </c>
      <c r="D164" s="7" t="inlineStr">
        <is>
          <t>M</t>
        </is>
      </c>
      <c r="E164" s="7" t="inlineStr">
        <is>
          <t>327 Oligo NN</t>
        </is>
      </c>
      <c r="F164" s="13" t="n">
        <v>1013</v>
      </c>
      <c r="G164" s="8" t="n">
        <v>8.142937</v>
      </c>
      <c r="H164" s="8" t="n">
        <v>8.688625</v>
      </c>
      <c r="I164" s="14" t="n">
        <v>0.9378084896347484</v>
      </c>
    </row>
    <row r="165">
      <c r="A165" s="7" t="inlineStr">
        <is>
          <t>Snap25-IRES2-Cre;Ai14-452712</t>
        </is>
      </c>
      <c r="B165" s="7" t="inlineStr">
        <is>
          <t>aged</t>
        </is>
      </c>
      <c r="C165" s="7" t="inlineStr">
        <is>
          <t>P542</t>
        </is>
      </c>
      <c r="D165" s="7" t="inlineStr">
        <is>
          <t>M</t>
        </is>
      </c>
      <c r="E165" s="7" t="inlineStr">
        <is>
          <t>327 Oligo NN</t>
        </is>
      </c>
      <c r="F165" s="13" t="n">
        <v>687</v>
      </c>
      <c r="G165" s="8" t="n">
        <v>8.230544999999999</v>
      </c>
      <c r="H165" s="8" t="n">
        <v>8.670866</v>
      </c>
      <c r="I165" s="14" t="n">
        <v>0.9548762736535662</v>
      </c>
    </row>
    <row r="166">
      <c r="A166" s="7" t="inlineStr">
        <is>
          <t>Snap25-IRES2-Cre;Ai14-452714</t>
        </is>
      </c>
      <c r="B166" s="7" t="inlineStr">
        <is>
          <t>aged</t>
        </is>
      </c>
      <c r="C166" s="7" t="inlineStr">
        <is>
          <t>P542</t>
        </is>
      </c>
      <c r="D166" s="7" t="inlineStr">
        <is>
          <t>M</t>
        </is>
      </c>
      <c r="E166" s="7" t="inlineStr">
        <is>
          <t>327 Oligo NN</t>
        </is>
      </c>
      <c r="F166" s="13" t="n">
        <v>2375</v>
      </c>
      <c r="G166" s="8" t="n">
        <v>8.73099</v>
      </c>
      <c r="H166" s="8" t="n">
        <v>9.063133000000001</v>
      </c>
      <c r="I166" s="14" t="n">
        <v>0.9722105263157896</v>
      </c>
    </row>
    <row r="167">
      <c r="A167" s="7" t="inlineStr">
        <is>
          <t>Snap25-IRES2-Cre;Ai14-452716</t>
        </is>
      </c>
      <c r="B167" s="7" t="inlineStr">
        <is>
          <t>aged</t>
        </is>
      </c>
      <c r="C167" s="7" t="inlineStr">
        <is>
          <t>P543</t>
        </is>
      </c>
      <c r="D167" s="7" t="inlineStr">
        <is>
          <t>F</t>
        </is>
      </c>
      <c r="E167" s="7" t="inlineStr">
        <is>
          <t>327 Oligo NN</t>
        </is>
      </c>
      <c r="F167" s="13" t="n">
        <v>978</v>
      </c>
      <c r="G167" s="8" t="n">
        <v>8.226959000000001</v>
      </c>
      <c r="H167" s="8" t="n">
        <v>8.548738</v>
      </c>
      <c r="I167" s="14" t="n">
        <v>0.976482617586912</v>
      </c>
    </row>
    <row r="168">
      <c r="A168" s="7" t="inlineStr">
        <is>
          <t>Snap25-IRES2-Cre;Ai14-452717</t>
        </is>
      </c>
      <c r="B168" s="7" t="inlineStr">
        <is>
          <t>aged</t>
        </is>
      </c>
      <c r="C168" s="7" t="inlineStr">
        <is>
          <t>P549</t>
        </is>
      </c>
      <c r="D168" s="7" t="inlineStr">
        <is>
          <t>F</t>
        </is>
      </c>
      <c r="E168" s="7" t="inlineStr">
        <is>
          <t>327 Oligo NN</t>
        </is>
      </c>
      <c r="F168" s="13" t="n">
        <v>3366</v>
      </c>
      <c r="G168" s="8" t="n">
        <v>7.895059</v>
      </c>
      <c r="H168" s="8" t="n">
        <v>8.736815999999999</v>
      </c>
      <c r="I168" s="14" t="n">
        <v>0.8957219251336899</v>
      </c>
    </row>
    <row r="169">
      <c r="A169" s="7" t="inlineStr">
        <is>
          <t>Snap25-IRES2-Cre;Ai14-453388</t>
        </is>
      </c>
      <c r="B169" s="7" t="inlineStr">
        <is>
          <t>aged</t>
        </is>
      </c>
      <c r="C169" s="7" t="inlineStr">
        <is>
          <t>P546</t>
        </is>
      </c>
      <c r="D169" s="7" t="inlineStr">
        <is>
          <t>M</t>
        </is>
      </c>
      <c r="E169" s="7" t="inlineStr">
        <is>
          <t>327 Oligo NN</t>
        </is>
      </c>
      <c r="F169" s="13" t="n">
        <v>2864</v>
      </c>
      <c r="G169" s="8" t="n">
        <v>8.009857999999999</v>
      </c>
      <c r="H169" s="8" t="n">
        <v>8.840038</v>
      </c>
      <c r="I169" s="14" t="n">
        <v>0.901536312849162</v>
      </c>
    </row>
    <row r="170">
      <c r="A170" s="7" t="inlineStr">
        <is>
          <t>Snap25-IRES2-Cre;Ai14-454396</t>
        </is>
      </c>
      <c r="B170" s="7" t="inlineStr">
        <is>
          <t>aged</t>
        </is>
      </c>
      <c r="C170" s="7" t="inlineStr">
        <is>
          <t>P550</t>
        </is>
      </c>
      <c r="D170" s="7" t="inlineStr">
        <is>
          <t>M</t>
        </is>
      </c>
      <c r="E170" s="7" t="inlineStr">
        <is>
          <t>327 Oligo NN</t>
        </is>
      </c>
      <c r="F170" s="13" t="n">
        <v>2834</v>
      </c>
      <c r="G170" s="8" t="n">
        <v>8.851573999999999</v>
      </c>
      <c r="H170" s="8" t="n">
        <v>9.345386</v>
      </c>
      <c r="I170" s="14" t="n">
        <v>0.9558927311220889</v>
      </c>
    </row>
    <row r="171">
      <c r="A171" s="7" t="inlineStr">
        <is>
          <t>Snap25-IRES2-Cre;Ai14-454398</t>
        </is>
      </c>
      <c r="B171" s="7" t="inlineStr">
        <is>
          <t>aged</t>
        </is>
      </c>
      <c r="C171" s="7" t="inlineStr">
        <is>
          <t>P543</t>
        </is>
      </c>
      <c r="D171" s="7" t="inlineStr">
        <is>
          <t>M</t>
        </is>
      </c>
      <c r="E171" s="7" t="inlineStr">
        <is>
          <t>327 Oligo NN</t>
        </is>
      </c>
      <c r="F171" s="13" t="n">
        <v>1665</v>
      </c>
      <c r="G171" s="8" t="n">
        <v>7.6626344</v>
      </c>
      <c r="H171" s="8" t="n">
        <v>8.391321</v>
      </c>
      <c r="I171" s="14" t="n">
        <v>0.915915915915916</v>
      </c>
    </row>
    <row r="172">
      <c r="A172" s="7" t="inlineStr">
        <is>
          <t>Snap25-IRES2-Cre;Ai14-454399</t>
        </is>
      </c>
      <c r="B172" s="7" t="inlineStr">
        <is>
          <t>aged</t>
        </is>
      </c>
      <c r="C172" s="7" t="inlineStr">
        <is>
          <t>P549</t>
        </is>
      </c>
      <c r="D172" s="7" t="inlineStr">
        <is>
          <t>F</t>
        </is>
      </c>
      <c r="E172" s="7" t="inlineStr">
        <is>
          <t>327 Oligo NN</t>
        </is>
      </c>
      <c r="F172" s="13" t="n">
        <v>6830</v>
      </c>
      <c r="G172" s="8" t="n">
        <v>8.221071</v>
      </c>
      <c r="H172" s="8" t="n">
        <v>8.686406</v>
      </c>
      <c r="I172" s="14" t="n">
        <v>0.9543191800878478</v>
      </c>
    </row>
    <row r="173">
      <c r="A173" s="7" t="inlineStr">
        <is>
          <t>Snap25-IRES2-Cre;Ai14-455010</t>
        </is>
      </c>
      <c r="B173" s="7" t="inlineStr">
        <is>
          <t>aged</t>
        </is>
      </c>
      <c r="C173" s="7" t="inlineStr">
        <is>
          <t>P553</t>
        </is>
      </c>
      <c r="D173" s="7" t="inlineStr">
        <is>
          <t>F</t>
        </is>
      </c>
      <c r="E173" s="7" t="inlineStr">
        <is>
          <t>327 Oligo NN</t>
        </is>
      </c>
      <c r="F173" s="13" t="n">
        <v>185</v>
      </c>
      <c r="G173" s="8" t="n">
        <v>7.5527005</v>
      </c>
      <c r="H173" s="8" t="n">
        <v>8.413714000000001</v>
      </c>
      <c r="I173" s="14" t="n">
        <v>0.8864864864864865</v>
      </c>
    </row>
    <row r="174">
      <c r="A174" s="7" t="inlineStr">
        <is>
          <t>Snap25-IRES2-Cre;Ai14-455011</t>
        </is>
      </c>
      <c r="B174" s="7" t="inlineStr">
        <is>
          <t>aged</t>
        </is>
      </c>
      <c r="C174" s="7" t="inlineStr">
        <is>
          <t>P553</t>
        </is>
      </c>
      <c r="D174" s="7" t="inlineStr">
        <is>
          <t>F</t>
        </is>
      </c>
      <c r="E174" s="7" t="inlineStr">
        <is>
          <t>327 Oligo NN</t>
        </is>
      </c>
      <c r="F174" s="13" t="n">
        <v>2395</v>
      </c>
      <c r="G174" s="8" t="n">
        <v>8.2703705</v>
      </c>
      <c r="H174" s="8" t="n">
        <v>8.633464999999999</v>
      </c>
      <c r="I174" s="14" t="n">
        <v>0.9686847599164928</v>
      </c>
    </row>
    <row r="175">
      <c r="A175" s="7" t="inlineStr">
        <is>
          <t>Snap25-IRES2-Cre;Ai14-455012</t>
        </is>
      </c>
      <c r="B175" s="7" t="inlineStr">
        <is>
          <t>aged</t>
        </is>
      </c>
      <c r="C175" s="7" t="inlineStr">
        <is>
          <t>P547</t>
        </is>
      </c>
      <c r="D175" s="7" t="inlineStr">
        <is>
          <t>F</t>
        </is>
      </c>
      <c r="E175" s="7" t="inlineStr">
        <is>
          <t>327 Oligo NN</t>
        </is>
      </c>
      <c r="F175" s="13" t="n">
        <v>3585</v>
      </c>
      <c r="G175" s="8" t="n">
        <v>8.173569000000001</v>
      </c>
      <c r="H175" s="8" t="n">
        <v>8.592917</v>
      </c>
      <c r="I175" s="14" t="n">
        <v>0.9615062761506276</v>
      </c>
    </row>
    <row r="176">
      <c r="A176" s="7" t="inlineStr">
        <is>
          <t>Snap25-IRES2-Cre;Ai14-455014</t>
        </is>
      </c>
      <c r="B176" s="7" t="inlineStr">
        <is>
          <t>aged</t>
        </is>
      </c>
      <c r="C176" s="7" t="inlineStr">
        <is>
          <t>P546</t>
        </is>
      </c>
      <c r="D176" s="7" t="inlineStr">
        <is>
          <t>F</t>
        </is>
      </c>
      <c r="E176" s="7" t="inlineStr">
        <is>
          <t>327 Oligo NN</t>
        </is>
      </c>
      <c r="F176" s="13" t="n">
        <v>1855</v>
      </c>
      <c r="G176" s="8" t="n">
        <v>8.830966999999999</v>
      </c>
      <c r="H176" s="8" t="n">
        <v>9.118302999999999</v>
      </c>
      <c r="I176" s="14" t="n">
        <v>0.9800539083557952</v>
      </c>
    </row>
    <row r="177">
      <c r="A177" s="7" t="inlineStr">
        <is>
          <t>Snap25-IRES2-Cre;Ai14-459918</t>
        </is>
      </c>
      <c r="B177" s="7" t="inlineStr">
        <is>
          <t>aged</t>
        </is>
      </c>
      <c r="C177" s="7" t="inlineStr">
        <is>
          <t>P544</t>
        </is>
      </c>
      <c r="D177" s="7" t="inlineStr">
        <is>
          <t>F</t>
        </is>
      </c>
      <c r="E177" s="7" t="inlineStr">
        <is>
          <t>327 Oligo NN</t>
        </is>
      </c>
      <c r="F177" s="13" t="n">
        <v>1134</v>
      </c>
      <c r="G177" s="8" t="n">
        <v>8.116429</v>
      </c>
      <c r="H177" s="8" t="n">
        <v>8.585127</v>
      </c>
      <c r="I177" s="14" t="n">
        <v>0.9514991181657848</v>
      </c>
    </row>
    <row r="178">
      <c r="A178" s="7" t="inlineStr">
        <is>
          <t>Snap25-IRES2-Cre;Ai14-459919</t>
        </is>
      </c>
      <c r="B178" s="7" t="inlineStr">
        <is>
          <t>aged</t>
        </is>
      </c>
      <c r="C178" s="7" t="inlineStr">
        <is>
          <t>P544</t>
        </is>
      </c>
      <c r="D178" s="7" t="inlineStr">
        <is>
          <t>F</t>
        </is>
      </c>
      <c r="E178" s="7" t="inlineStr">
        <is>
          <t>327 Oligo NN</t>
        </is>
      </c>
      <c r="F178" s="13" t="n">
        <v>1810</v>
      </c>
      <c r="G178" s="8" t="n">
        <v>7.9568806</v>
      </c>
      <c r="H178" s="8" t="n">
        <v>8.443759999999999</v>
      </c>
      <c r="I178" s="14" t="n">
        <v>0.947513812154696</v>
      </c>
    </row>
    <row r="179">
      <c r="A179" s="7" t="inlineStr">
        <is>
          <t>Snap25-IRES2-Cre;Ai14-463229</t>
        </is>
      </c>
      <c r="B179" s="7" t="inlineStr">
        <is>
          <t>aged</t>
        </is>
      </c>
      <c r="C179" s="7" t="inlineStr">
        <is>
          <t>18M</t>
        </is>
      </c>
      <c r="D179" s="7" t="inlineStr">
        <is>
          <t>M</t>
        </is>
      </c>
      <c r="E179" s="7" t="inlineStr">
        <is>
          <t>327 Oligo NN</t>
        </is>
      </c>
      <c r="F179" s="13" t="n">
        <v>2254</v>
      </c>
      <c r="G179" s="8" t="n">
        <v>8.1032095</v>
      </c>
      <c r="H179" s="8" t="n">
        <v>8.528283999999999</v>
      </c>
      <c r="I179" s="14" t="n">
        <v>0.9574090505767524</v>
      </c>
    </row>
    <row r="180">
      <c r="A180" s="7" t="inlineStr">
        <is>
          <t>Snap25-IRES2-Cre;Ai14-463230</t>
        </is>
      </c>
      <c r="B180" s="7" t="inlineStr">
        <is>
          <t>aged</t>
        </is>
      </c>
      <c r="C180" s="7" t="inlineStr">
        <is>
          <t>P549</t>
        </is>
      </c>
      <c r="D180" s="7" t="inlineStr">
        <is>
          <t>M</t>
        </is>
      </c>
      <c r="E180" s="7" t="inlineStr">
        <is>
          <t>327 Oligo NN</t>
        </is>
      </c>
      <c r="F180" s="13" t="n">
        <v>4732</v>
      </c>
      <c r="G180" s="8" t="n">
        <v>8.337046000000001</v>
      </c>
      <c r="H180" s="8" t="n">
        <v>8.705022</v>
      </c>
      <c r="I180" s="14" t="n">
        <v>0.9666103127641588</v>
      </c>
    </row>
    <row r="181">
      <c r="A181" s="7" t="inlineStr">
        <is>
          <t>Snap25-IRES2-Cre;Ai14-463232</t>
        </is>
      </c>
      <c r="B181" s="7" t="inlineStr">
        <is>
          <t>aged</t>
        </is>
      </c>
      <c r="C181" s="7" t="inlineStr">
        <is>
          <t>P541</t>
        </is>
      </c>
      <c r="D181" s="7" t="inlineStr">
        <is>
          <t>M</t>
        </is>
      </c>
      <c r="E181" s="7" t="inlineStr">
        <is>
          <t>327 Oligo NN</t>
        </is>
      </c>
      <c r="F181" s="13" t="n">
        <v>2248</v>
      </c>
      <c r="G181" s="8" t="n">
        <v>7.8403583</v>
      </c>
      <c r="H181" s="8" t="n">
        <v>8.504868999999999</v>
      </c>
      <c r="I181" s="14" t="n">
        <v>0.9248220640569396</v>
      </c>
    </row>
    <row r="182">
      <c r="A182" s="7" t="inlineStr">
        <is>
          <t>Snap25-IRES2-Cre;Ai14-463235</t>
        </is>
      </c>
      <c r="B182" s="7" t="inlineStr">
        <is>
          <t>aged</t>
        </is>
      </c>
      <c r="C182" s="7" t="inlineStr">
        <is>
          <t>P541</t>
        </is>
      </c>
      <c r="D182" s="7" t="inlineStr">
        <is>
          <t>M</t>
        </is>
      </c>
      <c r="E182" s="7" t="inlineStr">
        <is>
          <t>327 Oligo NN</t>
        </is>
      </c>
      <c r="F182" s="13" t="n">
        <v>3313</v>
      </c>
      <c r="G182" s="8" t="n">
        <v>8.011222</v>
      </c>
      <c r="H182" s="8" t="n">
        <v>8.516781999999999</v>
      </c>
      <c r="I182" s="14" t="n">
        <v>0.9465741020223364</v>
      </c>
    </row>
    <row r="183">
      <c r="A183" s="7" t="inlineStr">
        <is>
          <t>Snap25-IRES2-Cre;Ai14-464325</t>
        </is>
      </c>
      <c r="B183" s="7" t="inlineStr">
        <is>
          <t>aged</t>
        </is>
      </c>
      <c r="C183" s="7" t="inlineStr">
        <is>
          <t>P551</t>
        </is>
      </c>
      <c r="D183" s="7" t="inlineStr">
        <is>
          <t>M</t>
        </is>
      </c>
      <c r="E183" s="7" t="inlineStr">
        <is>
          <t>327 Oligo NN</t>
        </is>
      </c>
      <c r="F183" s="13" t="n">
        <v>3205</v>
      </c>
      <c r="G183" s="8" t="n">
        <v>8.453832</v>
      </c>
      <c r="H183" s="8" t="n">
        <v>8.886134</v>
      </c>
      <c r="I183" s="14" t="n">
        <v>0.959126365054602</v>
      </c>
    </row>
    <row r="184">
      <c r="A184" s="7" t="inlineStr">
        <is>
          <t>Snap25-IRES2-Cre;Ai14-464751</t>
        </is>
      </c>
      <c r="B184" s="7" t="inlineStr">
        <is>
          <t>aged</t>
        </is>
      </c>
      <c r="C184" s="7" t="inlineStr">
        <is>
          <t>P542</t>
        </is>
      </c>
      <c r="D184" s="7" t="inlineStr">
        <is>
          <t>M</t>
        </is>
      </c>
      <c r="E184" s="7" t="inlineStr">
        <is>
          <t>327 Oligo NN</t>
        </is>
      </c>
      <c r="F184" s="13" t="n">
        <v>235</v>
      </c>
      <c r="G184" s="8" t="n">
        <v>8.403096</v>
      </c>
      <c r="H184" s="8" t="n">
        <v>8.814862</v>
      </c>
      <c r="I184" s="14" t="n">
        <v>0.9702127659574468</v>
      </c>
    </row>
    <row r="185">
      <c r="A185" s="7" t="inlineStr">
        <is>
          <t>Snap25-IRES2-Cre;Ai14-464753</t>
        </is>
      </c>
      <c r="B185" s="7" t="inlineStr">
        <is>
          <t>aged</t>
        </is>
      </c>
      <c r="C185" s="7" t="inlineStr">
        <is>
          <t>18M</t>
        </is>
      </c>
      <c r="D185" s="7" t="inlineStr">
        <is>
          <t>M</t>
        </is>
      </c>
      <c r="E185" s="7" t="inlineStr">
        <is>
          <t>327 Oligo NN</t>
        </is>
      </c>
      <c r="F185" s="13" t="n">
        <v>944</v>
      </c>
      <c r="G185" s="8" t="n">
        <v>7.704834</v>
      </c>
      <c r="H185" s="8" t="n">
        <v>8.513721</v>
      </c>
      <c r="I185" s="14" t="n">
        <v>0.9014830508474576</v>
      </c>
    </row>
    <row r="186">
      <c r="A186" s="7" t="inlineStr">
        <is>
          <t>Snap25-IRES2-Cre;Ai14-464755</t>
        </is>
      </c>
      <c r="B186" s="7" t="inlineStr">
        <is>
          <t>aged</t>
        </is>
      </c>
      <c r="C186" s="7" t="inlineStr">
        <is>
          <t>P549</t>
        </is>
      </c>
      <c r="D186" s="7" t="inlineStr">
        <is>
          <t>M</t>
        </is>
      </c>
      <c r="E186" s="7" t="inlineStr">
        <is>
          <t>327 Oligo NN</t>
        </is>
      </c>
      <c r="F186" s="13" t="n">
        <v>3941</v>
      </c>
      <c r="G186" s="8" t="n">
        <v>8.501982</v>
      </c>
      <c r="H186" s="8" t="n">
        <v>8.833022</v>
      </c>
      <c r="I186" s="14" t="n">
        <v>0.9743719868053794</v>
      </c>
    </row>
    <row r="187">
      <c r="A187" s="7" t="inlineStr">
        <is>
          <t>Snap25-IRES2-Cre;Ai14-464756</t>
        </is>
      </c>
      <c r="B187" s="7" t="inlineStr">
        <is>
          <t>aged</t>
        </is>
      </c>
      <c r="C187" s="7" t="inlineStr">
        <is>
          <t>P541</t>
        </is>
      </c>
      <c r="D187" s="7" t="inlineStr">
        <is>
          <t>F</t>
        </is>
      </c>
      <c r="E187" s="7" t="inlineStr">
        <is>
          <t>327 Oligo NN</t>
        </is>
      </c>
      <c r="F187" s="13" t="n">
        <v>346</v>
      </c>
      <c r="G187" s="8" t="n">
        <v>8.506111000000001</v>
      </c>
      <c r="H187" s="8" t="n">
        <v>8.871014000000001</v>
      </c>
      <c r="I187" s="14" t="n">
        <v>0.96242774566474</v>
      </c>
    </row>
    <row r="188">
      <c r="A188" s="7" t="inlineStr">
        <is>
          <t>Snap25-IRES2-Cre;Ai14-464758</t>
        </is>
      </c>
      <c r="B188" s="7" t="inlineStr">
        <is>
          <t>aged</t>
        </is>
      </c>
      <c r="C188" s="7" t="inlineStr">
        <is>
          <t>P542</t>
        </is>
      </c>
      <c r="D188" s="7" t="inlineStr">
        <is>
          <t>F</t>
        </is>
      </c>
      <c r="E188" s="7" t="inlineStr">
        <is>
          <t>327 Oligo NN</t>
        </is>
      </c>
      <c r="F188" s="13" t="n">
        <v>2884</v>
      </c>
      <c r="G188" s="8" t="n">
        <v>8.198478</v>
      </c>
      <c r="H188" s="8" t="n">
        <v>8.577249</v>
      </c>
      <c r="I188" s="14" t="n">
        <v>0.9649791955617198</v>
      </c>
    </row>
    <row r="189">
      <c r="A189" s="7" t="inlineStr">
        <is>
          <t>Snap25-IRES2-Cre;Ai14-464759</t>
        </is>
      </c>
      <c r="B189" s="7" t="inlineStr">
        <is>
          <t>aged</t>
        </is>
      </c>
      <c r="C189" s="7" t="inlineStr">
        <is>
          <t>P541</t>
        </is>
      </c>
      <c r="D189" s="7" t="inlineStr">
        <is>
          <t>F</t>
        </is>
      </c>
      <c r="E189" s="7" t="inlineStr">
        <is>
          <t>327 Oligo NN</t>
        </is>
      </c>
      <c r="F189" s="13" t="n">
        <v>1152</v>
      </c>
      <c r="G189" s="8" t="n">
        <v>7.6161337</v>
      </c>
      <c r="H189" s="8" t="n">
        <v>8.327366</v>
      </c>
      <c r="I189" s="14" t="n">
        <v>0.9140625</v>
      </c>
    </row>
    <row r="190">
      <c r="A190" s="7" t="inlineStr">
        <is>
          <t>Snap25-IRES2-Cre;Ai14-468791</t>
        </is>
      </c>
      <c r="B190" s="7" t="inlineStr">
        <is>
          <t>aged</t>
        </is>
      </c>
      <c r="C190" s="7" t="inlineStr">
        <is>
          <t>P545</t>
        </is>
      </c>
      <c r="D190" s="7" t="inlineStr">
        <is>
          <t>M</t>
        </is>
      </c>
      <c r="E190" s="7" t="inlineStr">
        <is>
          <t>327 Oligo NN</t>
        </is>
      </c>
      <c r="F190" s="13" t="n">
        <v>3207</v>
      </c>
      <c r="G190" s="8" t="n">
        <v>8.202997</v>
      </c>
      <c r="H190" s="8" t="n">
        <v>8.737035000000001</v>
      </c>
      <c r="I190" s="14" t="n">
        <v>0.9448082319925164</v>
      </c>
    </row>
    <row r="191">
      <c r="A191" s="7" t="inlineStr">
        <is>
          <t>Snap25-IRES2-Cre;Ai14-468792</t>
        </is>
      </c>
      <c r="B191" s="7" t="inlineStr">
        <is>
          <t>aged</t>
        </is>
      </c>
      <c r="C191" s="7" t="inlineStr">
        <is>
          <t>P545</t>
        </is>
      </c>
      <c r="D191" s="7" t="inlineStr">
        <is>
          <t>M</t>
        </is>
      </c>
      <c r="E191" s="7" t="inlineStr">
        <is>
          <t>327 Oligo NN</t>
        </is>
      </c>
      <c r="F191" s="13" t="n">
        <v>2326</v>
      </c>
      <c r="G191" s="8" t="n">
        <v>8.708557000000001</v>
      </c>
      <c r="H191" s="8" t="n">
        <v>9.066390999999999</v>
      </c>
      <c r="I191" s="14" t="n">
        <v>0.9742046431642304</v>
      </c>
    </row>
    <row r="192">
      <c r="A192" s="7" t="inlineStr">
        <is>
          <t>Snap25-IRES2-Cre;Ai14-499307</t>
        </is>
      </c>
      <c r="B192" s="7" t="inlineStr">
        <is>
          <t>aged</t>
        </is>
      </c>
      <c r="C192" s="7" t="inlineStr">
        <is>
          <t>P543</t>
        </is>
      </c>
      <c r="D192" s="7" t="inlineStr">
        <is>
          <t>M</t>
        </is>
      </c>
      <c r="E192" s="7" t="inlineStr">
        <is>
          <t>327 Oligo NN</t>
        </is>
      </c>
      <c r="F192" s="13" t="n">
        <v>216</v>
      </c>
      <c r="G192" s="8" t="n">
        <v>8.372009</v>
      </c>
      <c r="H192" s="8" t="n">
        <v>8.918153</v>
      </c>
      <c r="I192" s="14" t="n">
        <v>0.949074074074074</v>
      </c>
    </row>
    <row r="193">
      <c r="A193" s="7" t="inlineStr">
        <is>
          <t>Snap25-IRES2-Cre;Ai14-511457</t>
        </is>
      </c>
      <c r="B193" s="7" t="inlineStr">
        <is>
          <t>aged</t>
        </is>
      </c>
      <c r="C193" s="7" t="inlineStr">
        <is>
          <t>P545</t>
        </is>
      </c>
      <c r="D193" s="7" t="inlineStr">
        <is>
          <t>M</t>
        </is>
      </c>
      <c r="E193" s="7" t="inlineStr">
        <is>
          <t>327 Oligo NN</t>
        </is>
      </c>
      <c r="F193" s="13" t="n">
        <v>86</v>
      </c>
      <c r="G193" s="8" t="n">
        <v>7.7183433</v>
      </c>
      <c r="H193" s="8" t="n">
        <v>8.737249</v>
      </c>
      <c r="I193" s="14" t="n">
        <v>0.8837209302325582</v>
      </c>
    </row>
    <row r="194">
      <c r="A194" s="7" t="inlineStr">
        <is>
          <t>Snap25-IRES2-Cre;Ai14-511460</t>
        </is>
      </c>
      <c r="B194" s="7" t="inlineStr">
        <is>
          <t>aged</t>
        </is>
      </c>
      <c r="C194" s="7" t="inlineStr">
        <is>
          <t>P544</t>
        </is>
      </c>
      <c r="D194" s="7" t="inlineStr">
        <is>
          <t>F</t>
        </is>
      </c>
      <c r="E194" s="7" t="inlineStr">
        <is>
          <t>327 Oligo NN</t>
        </is>
      </c>
      <c r="F194" s="13" t="n">
        <v>477</v>
      </c>
      <c r="G194" s="8" t="n">
        <v>8.219552999999999</v>
      </c>
      <c r="H194" s="8" t="n">
        <v>8.655395499999999</v>
      </c>
      <c r="I194" s="14" t="n">
        <v>0.9559748427672956</v>
      </c>
    </row>
    <row r="195">
      <c r="A195" s="7" t="inlineStr">
        <is>
          <t>Snap25-IRES2-Cre;Ai14-511895</t>
        </is>
      </c>
      <c r="B195" s="7" t="inlineStr">
        <is>
          <t>aged</t>
        </is>
      </c>
      <c r="C195" s="7" t="inlineStr">
        <is>
          <t>P543</t>
        </is>
      </c>
      <c r="D195" s="7" t="inlineStr">
        <is>
          <t>M</t>
        </is>
      </c>
      <c r="E195" s="7" t="inlineStr">
        <is>
          <t>327 Oligo NN</t>
        </is>
      </c>
      <c r="F195" s="13" t="n">
        <v>1200</v>
      </c>
      <c r="G195" s="8" t="n">
        <v>7.777133</v>
      </c>
      <c r="H195" s="8" t="n">
        <v>8.408162000000001</v>
      </c>
      <c r="I195" s="14" t="n">
        <v>0.9333333333333332</v>
      </c>
    </row>
    <row r="196">
      <c r="A196" s="7" t="inlineStr">
        <is>
          <t>Snap25-IRES2-Cre;Ai14-512026</t>
        </is>
      </c>
      <c r="B196" s="7" t="inlineStr">
        <is>
          <t>aged</t>
        </is>
      </c>
      <c r="C196" s="7" t="inlineStr">
        <is>
          <t>P544</t>
        </is>
      </c>
      <c r="D196" s="7" t="inlineStr">
        <is>
          <t>F</t>
        </is>
      </c>
      <c r="E196" s="7" t="inlineStr">
        <is>
          <t>327 Oligo NN</t>
        </is>
      </c>
      <c r="F196" s="13" t="n">
        <v>1115</v>
      </c>
      <c r="G196" s="8" t="n">
        <v>8.242065999999999</v>
      </c>
      <c r="H196" s="8" t="n">
        <v>8.654574999999999</v>
      </c>
      <c r="I196" s="14" t="n">
        <v>0.9551569506726456</v>
      </c>
    </row>
    <row r="197">
      <c r="A197" s="7" t="inlineStr">
        <is>
          <t>Snap25-IRES2-Cre;Ai14-512279</t>
        </is>
      </c>
      <c r="B197" s="7" t="inlineStr">
        <is>
          <t>aged</t>
        </is>
      </c>
      <c r="C197" s="7" t="inlineStr">
        <is>
          <t>P546</t>
        </is>
      </c>
      <c r="D197" s="7" t="inlineStr">
        <is>
          <t>M</t>
        </is>
      </c>
      <c r="E197" s="7" t="inlineStr">
        <is>
          <t>327 Oligo NN</t>
        </is>
      </c>
      <c r="F197" s="13" t="n">
        <v>17</v>
      </c>
      <c r="G197" s="8" t="n">
        <v>6.6981573</v>
      </c>
      <c r="H197" s="8" t="n">
        <v>7.2201777</v>
      </c>
      <c r="I197" s="14" t="n">
        <v>0.8823529411764706</v>
      </c>
    </row>
    <row r="198">
      <c r="A198" s="7" t="inlineStr">
        <is>
          <t>Snap25-IRES2-Cre;Ai14-513431</t>
        </is>
      </c>
      <c r="B198" s="7" t="inlineStr">
        <is>
          <t>aged</t>
        </is>
      </c>
      <c r="C198" s="7" t="inlineStr">
        <is>
          <t>P540</t>
        </is>
      </c>
      <c r="D198" s="7" t="inlineStr">
        <is>
          <t>M</t>
        </is>
      </c>
      <c r="E198" s="7" t="inlineStr">
        <is>
          <t>327 Oligo NN</t>
        </is>
      </c>
      <c r="F198" s="13" t="n">
        <v>38</v>
      </c>
      <c r="G198" s="8" t="n">
        <v>7.9547987</v>
      </c>
      <c r="H198" s="8" t="n">
        <v>8.512691999999999</v>
      </c>
      <c r="I198" s="14" t="n">
        <v>0.9210526315789472</v>
      </c>
    </row>
    <row r="200">
      <c r="A200" s="3" t="inlineStr">
        <is>
          <t>Notlar</t>
        </is>
      </c>
    </row>
    <row r="201">
      <c r="A201" s="12" t="inlineStr">
        <is>
          <t>- Genc grup P53 ile P69 gunleri arasinda, ortanca 61 gun. Yasli grup P540 ile P553 arasinda, ortanca 543,5 gun.</t>
        </is>
      </c>
    </row>
    <row r="202">
      <c r="A202" s="12" t="inlineStr">
        <is>
          <t>- 18M etiketi ile P540 ayni yasi gosteriyor, metadata iki farkli etiketleme semasi kullaniyor.</t>
        </is>
      </c>
    </row>
    <row r="203">
      <c r="A203" s="12" t="inlineStr">
        <is>
          <t>- Veri setinin tamaminda 108 fare var. 11 genc fare hic OPC veya oligodendrosit hucresi vermedigi icin analize girmedi.</t>
        </is>
      </c>
    </row>
    <row r="204">
      <c r="A204" s="12" t="inlineStr">
        <is>
          <t>- Bes farenin OPC hucre sayisi ellinin altinda. Ucu genc ikisi yasli grupta, yani sistematik bir yanlilik yok.</t>
        </is>
      </c>
    </row>
  </sheetData>
  <autoFilter ref="A4:I198"/>
  <mergeCells count="6">
    <mergeCell ref="A1:J1"/>
    <mergeCell ref="A204:I204"/>
    <mergeCell ref="A202:I202"/>
    <mergeCell ref="A203:I203"/>
    <mergeCell ref="A2:J2"/>
    <mergeCell ref="A201:I20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17" customWidth="1" min="4" max="4"/>
    <col width="11" customWidth="1" min="5" max="5"/>
    <col width="16" customWidth="1" min="6" max="6"/>
    <col width="15" customWidth="1" min="7" max="7"/>
    <col width="12" customWidth="1" min="8" max="8"/>
  </cols>
  <sheetData>
    <row r="1">
      <c r="A1" s="1" t="inlineStr">
        <is>
          <t>Tum beyin: alt siniflarin Kif13a siralamasi</t>
        </is>
      </c>
    </row>
    <row r="2">
      <c r="A2" s="2" t="inlineStr">
        <is>
          <t>13 parca havuzlandi, hucre sayisiyla agirliklandirildi. En az 500 hucreli alt siniflar.</t>
        </is>
      </c>
    </row>
    <row r="4">
      <c r="A4" s="6" t="inlineStr">
        <is>
          <t>Sira</t>
        </is>
      </c>
      <c r="B4" s="6" t="inlineStr">
        <is>
          <t>Alt sinif</t>
        </is>
      </c>
      <c r="C4" s="6" t="inlineStr">
        <is>
          <t>Sinif</t>
        </is>
      </c>
      <c r="D4" s="6" t="inlineStr">
        <is>
          <t>Notrotransmitter</t>
        </is>
      </c>
      <c r="E4" s="6" t="inlineStr">
        <is>
          <t>Hucre</t>
        </is>
      </c>
      <c r="F4" s="6" t="inlineStr">
        <is>
          <t>Ortalama (log2)</t>
        </is>
      </c>
      <c r="G4" s="6" t="inlineStr">
        <is>
          <t>Ifade eden oran</t>
        </is>
      </c>
      <c r="H4" s="6" t="inlineStr">
        <is>
          <t>Parca sayisi</t>
        </is>
      </c>
    </row>
    <row r="5">
      <c r="A5" s="16" t="n">
        <v>1</v>
      </c>
      <c r="B5" s="16" t="inlineStr">
        <is>
          <t>327 Oligo NN</t>
        </is>
      </c>
      <c r="C5" s="16" t="inlineStr">
        <is>
          <t>31 OPC-Oligo</t>
        </is>
      </c>
      <c r="D5" s="16" t="n"/>
      <c r="E5" s="17" t="n">
        <v>371211</v>
      </c>
      <c r="F5" s="18" t="n">
        <v>7.765019914220215</v>
      </c>
      <c r="G5" s="19" t="n">
        <v>0.9250264674268812</v>
      </c>
      <c r="H5" s="16" t="n">
        <v>13</v>
      </c>
    </row>
    <row r="6">
      <c r="A6" s="16" t="n">
        <v>2</v>
      </c>
      <c r="B6" s="16" t="inlineStr">
        <is>
          <t>326 OPC NN</t>
        </is>
      </c>
      <c r="C6" s="16" t="inlineStr">
        <is>
          <t>31 OPC-Oligo</t>
        </is>
      </c>
      <c r="D6" s="16" t="n"/>
      <c r="E6" s="17" t="n">
        <v>106459</v>
      </c>
      <c r="F6" s="18" t="n">
        <v>6.764457360101072</v>
      </c>
      <c r="G6" s="19" t="n">
        <v>0.850797020449187</v>
      </c>
      <c r="H6" s="16" t="n">
        <v>13</v>
      </c>
    </row>
    <row r="7">
      <c r="A7" s="7" t="n">
        <v>3</v>
      </c>
      <c r="B7" s="7" t="inlineStr">
        <is>
          <t>145 MH Tac2 Glut</t>
        </is>
      </c>
      <c r="C7" s="7" t="inlineStr">
        <is>
          <t>17 MH-LH Glut</t>
        </is>
      </c>
      <c r="D7" s="7" t="inlineStr">
        <is>
          <t>Chol</t>
        </is>
      </c>
      <c r="E7" s="13" t="n">
        <v>4662</v>
      </c>
      <c r="F7" s="8" t="n">
        <v>6.757697807872158</v>
      </c>
      <c r="G7" s="14" t="n">
        <v>0.9163449163449164</v>
      </c>
      <c r="H7" s="7" t="n">
        <v>5</v>
      </c>
    </row>
    <row r="8">
      <c r="A8" s="7" t="n">
        <v>4</v>
      </c>
      <c r="B8" s="7" t="inlineStr">
        <is>
          <t>298 PRP Gata3 Slc6a5 Gly-Gaba</t>
        </is>
      </c>
      <c r="C8" s="7" t="inlineStr">
        <is>
          <t>27 MY GABA</t>
        </is>
      </c>
      <c r="D8" s="7" t="inlineStr">
        <is>
          <t>GABA-Glyc</t>
        </is>
      </c>
      <c r="E8" s="13" t="n">
        <v>716</v>
      </c>
      <c r="F8" s="8" t="n">
        <v>6.679214888268157</v>
      </c>
      <c r="G8" s="14" t="n">
        <v>0.939944134078212</v>
      </c>
      <c r="H8" s="7" t="n">
        <v>2</v>
      </c>
    </row>
    <row r="9">
      <c r="A9" s="7" t="n">
        <v>5</v>
      </c>
      <c r="B9" s="7" t="inlineStr">
        <is>
          <t>251 NTS Dbh Glut</t>
        </is>
      </c>
      <c r="C9" s="7" t="inlineStr">
        <is>
          <t>24 MY Glut</t>
        </is>
      </c>
      <c r="D9" s="7" t="inlineStr">
        <is>
          <t>Glut</t>
        </is>
      </c>
      <c r="E9" s="13" t="n">
        <v>1725</v>
      </c>
      <c r="F9" s="8" t="n">
        <v>6.041827412289855</v>
      </c>
      <c r="G9" s="14" t="n">
        <v>0.8782608695652174</v>
      </c>
      <c r="H9" s="7" t="n">
        <v>4</v>
      </c>
    </row>
    <row r="10">
      <c r="A10" s="7" t="n">
        <v>6</v>
      </c>
      <c r="B10" s="7" t="inlineStr">
        <is>
          <t>294 MV Pax6 Gly-Gaba</t>
        </is>
      </c>
      <c r="C10" s="7" t="inlineStr">
        <is>
          <t>27 MY GABA</t>
        </is>
      </c>
      <c r="D10" s="7" t="inlineStr">
        <is>
          <t>GABA-Glyc</t>
        </is>
      </c>
      <c r="E10" s="13" t="n">
        <v>623</v>
      </c>
      <c r="F10" s="8" t="n">
        <v>5.679213168218299</v>
      </c>
      <c r="G10" s="14" t="n">
        <v>0.8747993579454254</v>
      </c>
      <c r="H10" s="7" t="n">
        <v>3</v>
      </c>
    </row>
    <row r="11">
      <c r="A11" s="7" t="n">
        <v>7</v>
      </c>
      <c r="B11" s="7" t="inlineStr">
        <is>
          <t>292 MV Nkx6-1 Gly-Gaba</t>
        </is>
      </c>
      <c r="C11" s="7" t="inlineStr">
        <is>
          <t>27 MY GABA</t>
        </is>
      </c>
      <c r="D11" s="7" t="inlineStr">
        <is>
          <t>GABA-Glyc</t>
        </is>
      </c>
      <c r="E11" s="13" t="n">
        <v>1271</v>
      </c>
      <c r="F11" s="8" t="n">
        <v>5.667426185680566</v>
      </c>
      <c r="G11" s="14" t="n">
        <v>0.909520062942565</v>
      </c>
      <c r="H11" s="7" t="n">
        <v>2</v>
      </c>
    </row>
    <row r="12">
      <c r="A12" s="7" t="n">
        <v>8</v>
      </c>
      <c r="B12" s="7" t="inlineStr">
        <is>
          <t>287 MV-SPIV-PRP Dmbx1 Gly-Gaba</t>
        </is>
      </c>
      <c r="C12" s="7" t="inlineStr">
        <is>
          <t>27 MY GABA</t>
        </is>
      </c>
      <c r="D12" s="7" t="inlineStr">
        <is>
          <t>GABA-Glyc</t>
        </is>
      </c>
      <c r="E12" s="13" t="n">
        <v>875</v>
      </c>
      <c r="F12" s="8" t="n">
        <v>5.661107027771428</v>
      </c>
      <c r="G12" s="14" t="n">
        <v>0.8822857142857143</v>
      </c>
      <c r="H12" s="7" t="n">
        <v>4</v>
      </c>
    </row>
    <row r="13">
      <c r="A13" s="7" t="n">
        <v>9</v>
      </c>
      <c r="B13" s="7" t="inlineStr">
        <is>
          <t>283 PRP Otp Gly-Gaba</t>
        </is>
      </c>
      <c r="C13" s="7" t="inlineStr">
        <is>
          <t>27 MY GABA</t>
        </is>
      </c>
      <c r="D13" s="7" t="inlineStr">
        <is>
          <t>GABA-Glyc</t>
        </is>
      </c>
      <c r="E13" s="13" t="n">
        <v>2312</v>
      </c>
      <c r="F13" s="8" t="n">
        <v>5.643603335640138</v>
      </c>
      <c r="G13" s="14" t="n">
        <v>0.8680795847750865</v>
      </c>
      <c r="H13" s="7" t="n">
        <v>2</v>
      </c>
    </row>
    <row r="14">
      <c r="A14" s="7" t="n">
        <v>10</v>
      </c>
      <c r="B14" s="7" t="inlineStr">
        <is>
          <t>129 VMH Nr5a1 Glut</t>
        </is>
      </c>
      <c r="C14" s="7" t="inlineStr">
        <is>
          <t>14 HY Glut</t>
        </is>
      </c>
      <c r="D14" s="7" t="inlineStr">
        <is>
          <t>Glut</t>
        </is>
      </c>
      <c r="E14" s="13" t="n">
        <v>3793</v>
      </c>
      <c r="F14" s="8" t="n">
        <v>5.596371214025836</v>
      </c>
      <c r="G14" s="14" t="n">
        <v>0.8589506986554178</v>
      </c>
      <c r="H14" s="7" t="n">
        <v>4</v>
      </c>
    </row>
    <row r="15">
      <c r="A15" s="7" t="n">
        <v>11</v>
      </c>
      <c r="B15" s="7" t="inlineStr">
        <is>
          <t>128 VMH Fezf1 Glut</t>
        </is>
      </c>
      <c r="C15" s="7" t="inlineStr">
        <is>
          <t>14 HY Glut</t>
        </is>
      </c>
      <c r="D15" s="7" t="inlineStr">
        <is>
          <t>Glut</t>
        </is>
      </c>
      <c r="E15" s="13" t="n">
        <v>1286</v>
      </c>
      <c r="F15" s="8" t="n">
        <v>5.579057558709176</v>
      </c>
      <c r="G15" s="14" t="n">
        <v>0.8755832037325039</v>
      </c>
      <c r="H15" s="7" t="n">
        <v>2</v>
      </c>
    </row>
    <row r="16">
      <c r="A16" s="7" t="n">
        <v>12</v>
      </c>
      <c r="B16" s="7" t="inlineStr">
        <is>
          <t>034 NP PPP Glut</t>
        </is>
      </c>
      <c r="C16" s="7" t="inlineStr">
        <is>
          <t>02 NP-CT-L6b Glut</t>
        </is>
      </c>
      <c r="D16" s="7" t="inlineStr">
        <is>
          <t>Glut</t>
        </is>
      </c>
      <c r="E16" s="13" t="n">
        <v>536</v>
      </c>
      <c r="F16" s="8" t="n">
        <v>5.512645689365672</v>
      </c>
      <c r="G16" s="14" t="n">
        <v>0.875</v>
      </c>
      <c r="H16" s="7" t="n">
        <v>2</v>
      </c>
    </row>
    <row r="17">
      <c r="A17" s="7" t="n">
        <v>13</v>
      </c>
      <c r="B17" s="7" t="inlineStr">
        <is>
          <t>291 NTS-MDRNd Prox1 Zic1 Gly-Gaba</t>
        </is>
      </c>
      <c r="C17" s="7" t="inlineStr">
        <is>
          <t>27 MY GABA</t>
        </is>
      </c>
      <c r="D17" s="7" t="inlineStr">
        <is>
          <t>GABA-Glyc</t>
        </is>
      </c>
      <c r="E17" s="13" t="n">
        <v>607</v>
      </c>
      <c r="F17" s="8" t="n">
        <v>5.408853546952224</v>
      </c>
      <c r="G17" s="14" t="n">
        <v>0.8336079077429983</v>
      </c>
      <c r="H17" s="7" t="n">
        <v>2</v>
      </c>
    </row>
    <row r="18">
      <c r="A18" s="7" t="n">
        <v>14</v>
      </c>
      <c r="B18" s="7" t="inlineStr">
        <is>
          <t>126 ARH-PVp Tbx3 Glut</t>
        </is>
      </c>
      <c r="C18" s="7" t="inlineStr">
        <is>
          <t>14 HY Glut</t>
        </is>
      </c>
      <c r="D18" s="7" t="inlineStr">
        <is>
          <t>Glut</t>
        </is>
      </c>
      <c r="E18" s="13" t="n">
        <v>2193</v>
      </c>
      <c r="F18" s="8" t="n">
        <v>5.408051833971728</v>
      </c>
      <c r="G18" s="14" t="n">
        <v>0.8549931600547196</v>
      </c>
      <c r="H18" s="7" t="n">
        <v>4</v>
      </c>
    </row>
    <row r="19">
      <c r="A19" s="7" t="n">
        <v>15</v>
      </c>
      <c r="B19" s="7" t="inlineStr">
        <is>
          <t>257 SPVC Ccdc172 Glut</t>
        </is>
      </c>
      <c r="C19" s="7" t="inlineStr">
        <is>
          <t>24 MY Glut</t>
        </is>
      </c>
      <c r="D19" s="7" t="inlineStr">
        <is>
          <t>Glut</t>
        </is>
      </c>
      <c r="E19" s="13" t="n">
        <v>592</v>
      </c>
      <c r="F19" s="8" t="n">
        <v>5.404148</v>
      </c>
      <c r="G19" s="14" t="n">
        <v>0.7753378378378378</v>
      </c>
      <c r="H19" s="7" t="n">
        <v>1</v>
      </c>
    </row>
    <row r="20">
      <c r="A20" s="7" t="n">
        <v>16</v>
      </c>
      <c r="B20" s="7" t="inlineStr">
        <is>
          <t>144 MM Foxb1 Glut</t>
        </is>
      </c>
      <c r="C20" s="7" t="inlineStr">
        <is>
          <t>16 HY MM Glut</t>
        </is>
      </c>
      <c r="D20" s="7" t="inlineStr">
        <is>
          <t>Glut</t>
        </is>
      </c>
      <c r="E20" s="13" t="n">
        <v>5855</v>
      </c>
      <c r="F20" s="8" t="n">
        <v>5.40128637233134</v>
      </c>
      <c r="G20" s="14" t="n">
        <v>0.8695132365499573</v>
      </c>
      <c r="H20" s="7" t="n">
        <v>3</v>
      </c>
    </row>
    <row r="21">
      <c r="A21" s="7" t="n">
        <v>17</v>
      </c>
      <c r="B21" s="7" t="inlineStr">
        <is>
          <t>140 PMd-LHA Foxb1 Glut</t>
        </is>
      </c>
      <c r="C21" s="7" t="inlineStr">
        <is>
          <t>14 HY Glut</t>
        </is>
      </c>
      <c r="D21" s="7" t="inlineStr">
        <is>
          <t>Glut</t>
        </is>
      </c>
      <c r="E21" s="13" t="n">
        <v>1289</v>
      </c>
      <c r="F21" s="8" t="n">
        <v>5.394826210628393</v>
      </c>
      <c r="G21" s="14" t="n">
        <v>0.8502715283165244</v>
      </c>
      <c r="H21" s="7" t="n">
        <v>4</v>
      </c>
    </row>
    <row r="22">
      <c r="A22" s="7" t="n">
        <v>18</v>
      </c>
      <c r="B22" s="7" t="inlineStr">
        <is>
          <t>246 CU-ECU-SPVI Foxb1 Glut</t>
        </is>
      </c>
      <c r="C22" s="7" t="inlineStr">
        <is>
          <t>24 MY Glut</t>
        </is>
      </c>
      <c r="D22" s="7" t="inlineStr">
        <is>
          <t>Glut</t>
        </is>
      </c>
      <c r="E22" s="13" t="n">
        <v>1659</v>
      </c>
      <c r="F22" s="8" t="n">
        <v>5.373385795177819</v>
      </c>
      <c r="G22" s="14" t="n">
        <v>0.8625678119349005</v>
      </c>
      <c r="H22" s="7" t="n">
        <v>4</v>
      </c>
    </row>
    <row r="23">
      <c r="A23" s="7" t="n">
        <v>19</v>
      </c>
      <c r="B23" s="7" t="inlineStr">
        <is>
          <t>329 ABC NN</t>
        </is>
      </c>
      <c r="C23" s="7" t="inlineStr">
        <is>
          <t>33 Vascular</t>
        </is>
      </c>
      <c r="D23" s="7" t="n"/>
      <c r="E23" s="13" t="n">
        <v>824</v>
      </c>
      <c r="F23" s="8" t="n">
        <v>5.370262845388349</v>
      </c>
      <c r="G23" s="14" t="n">
        <v>0.7354368932038835</v>
      </c>
      <c r="H23" s="7" t="n">
        <v>9</v>
      </c>
    </row>
    <row r="24">
      <c r="A24" s="7" t="n">
        <v>20</v>
      </c>
      <c r="B24" s="7" t="inlineStr">
        <is>
          <t>197 SNr Six3 Gaba</t>
        </is>
      </c>
      <c r="C24" s="7" t="inlineStr">
        <is>
          <t>20 MB GABA</t>
        </is>
      </c>
      <c r="D24" s="7" t="inlineStr">
        <is>
          <t>GABA</t>
        </is>
      </c>
      <c r="E24" s="13" t="n">
        <v>1418</v>
      </c>
      <c r="F24" s="8" t="n">
        <v>5.342422598166432</v>
      </c>
      <c r="G24" s="14" t="n">
        <v>0.892101551480959</v>
      </c>
      <c r="H24" s="7" t="n">
        <v>2</v>
      </c>
    </row>
    <row r="25">
      <c r="A25" s="7" t="n">
        <v>21</v>
      </c>
      <c r="B25" s="7" t="inlineStr">
        <is>
          <t>248 MV-SPIV Zic4 Neurod2 Glut</t>
        </is>
      </c>
      <c r="C25" s="7" t="inlineStr">
        <is>
          <t>24 MY Glut</t>
        </is>
      </c>
      <c r="D25" s="7" t="inlineStr">
        <is>
          <t>Glut</t>
        </is>
      </c>
      <c r="E25" s="13" t="n">
        <v>1973</v>
      </c>
      <c r="F25" s="8" t="n">
        <v>5.336755669488089</v>
      </c>
      <c r="G25" s="14" t="n">
        <v>0.8550430816016219</v>
      </c>
      <c r="H25" s="7" t="n">
        <v>3</v>
      </c>
    </row>
    <row r="26">
      <c r="A26" s="7" t="n">
        <v>22</v>
      </c>
      <c r="B26" s="7" t="inlineStr">
        <is>
          <t>293 PAS-MV Ebf2 Gly-Gaba</t>
        </is>
      </c>
      <c r="C26" s="7" t="inlineStr">
        <is>
          <t>27 MY GABA</t>
        </is>
      </c>
      <c r="D26" s="7" t="inlineStr">
        <is>
          <t>GABA-Glyc</t>
        </is>
      </c>
      <c r="E26" s="13" t="n">
        <v>4509</v>
      </c>
      <c r="F26" s="8" t="n">
        <v>5.313934810955866</v>
      </c>
      <c r="G26" s="14" t="n">
        <v>0.8272344200487914</v>
      </c>
      <c r="H26" s="7" t="n">
        <v>4</v>
      </c>
    </row>
    <row r="27">
      <c r="A27" s="7" t="n">
        <v>23</v>
      </c>
      <c r="B27" s="7" t="inlineStr">
        <is>
          <t>139 PH-LHA Foxb1 Glut</t>
        </is>
      </c>
      <c r="C27" s="7" t="inlineStr">
        <is>
          <t>14 HY Glut</t>
        </is>
      </c>
      <c r="D27" s="7" t="inlineStr">
        <is>
          <t>Glut</t>
        </is>
      </c>
      <c r="E27" s="13" t="n">
        <v>2145</v>
      </c>
      <c r="F27" s="8" t="n">
        <v>5.287605897249417</v>
      </c>
      <c r="G27" s="14" t="n">
        <v>0.8391608391608392</v>
      </c>
      <c r="H27" s="7" t="n">
        <v>6</v>
      </c>
    </row>
    <row r="28">
      <c r="A28" s="7" t="n">
        <v>24</v>
      </c>
      <c r="B28" s="7" t="inlineStr">
        <is>
          <t>143 MM-ant Foxb1 Glut</t>
        </is>
      </c>
      <c r="C28" s="7" t="inlineStr">
        <is>
          <t>16 HY MM Glut</t>
        </is>
      </c>
      <c r="D28" s="7" t="inlineStr">
        <is>
          <t>Glut</t>
        </is>
      </c>
      <c r="E28" s="13" t="n">
        <v>2746</v>
      </c>
      <c r="F28" s="8" t="n">
        <v>5.267151498324837</v>
      </c>
      <c r="G28" s="14" t="n">
        <v>0.8415877640203933</v>
      </c>
      <c r="H28" s="7" t="n">
        <v>4</v>
      </c>
    </row>
    <row r="29">
      <c r="A29" s="7" t="n">
        <v>25</v>
      </c>
      <c r="B29" s="7" t="inlineStr">
        <is>
          <t>103 PVHd-DMH Lhx6 Gaba</t>
        </is>
      </c>
      <c r="C29" s="7" t="inlineStr">
        <is>
          <t>12 HY GABA</t>
        </is>
      </c>
      <c r="D29" s="7" t="inlineStr">
        <is>
          <t>GABA</t>
        </is>
      </c>
      <c r="E29" s="13" t="n">
        <v>1666</v>
      </c>
      <c r="F29" s="8" t="n">
        <v>5.25058140942377</v>
      </c>
      <c r="G29" s="14" t="n">
        <v>0.8331332533013205</v>
      </c>
      <c r="H29" s="7" t="n">
        <v>5</v>
      </c>
    </row>
    <row r="30">
      <c r="A30" s="7" t="n">
        <v>26</v>
      </c>
      <c r="B30" s="7" t="inlineStr">
        <is>
          <t>314 CB Granule Glut</t>
        </is>
      </c>
      <c r="C30" s="7" t="inlineStr">
        <is>
          <t>29 CB Glut</t>
        </is>
      </c>
      <c r="D30" s="7" t="inlineStr">
        <is>
          <t>Glut</t>
        </is>
      </c>
      <c r="E30" s="13" t="n">
        <v>133778</v>
      </c>
      <c r="F30" s="8" t="n">
        <v>5.213353685630671</v>
      </c>
      <c r="G30" s="14" t="n">
        <v>0.6654532135328679</v>
      </c>
      <c r="H30" s="7" t="n">
        <v>5</v>
      </c>
    </row>
    <row r="31">
      <c r="A31" s="7" t="n">
        <v>27</v>
      </c>
      <c r="B31" s="7" t="inlineStr">
        <is>
          <t>243 PGRN-PARN-MDRN Hoxb5 Glut</t>
        </is>
      </c>
      <c r="C31" s="7" t="inlineStr">
        <is>
          <t>24 MY Glut</t>
        </is>
      </c>
      <c r="D31" s="7" t="inlineStr">
        <is>
          <t>Glut</t>
        </is>
      </c>
      <c r="E31" s="13" t="n">
        <v>3564</v>
      </c>
      <c r="F31" s="8" t="n">
        <v>5.182288065207632</v>
      </c>
      <c r="G31" s="14" t="n">
        <v>0.8372615039281706</v>
      </c>
      <c r="H31" s="7" t="n">
        <v>5</v>
      </c>
    </row>
    <row r="32">
      <c r="A32" s="7" t="n">
        <v>28</v>
      </c>
      <c r="B32" s="7" t="inlineStr">
        <is>
          <t>238 NTS Phox2b Glut</t>
        </is>
      </c>
      <c r="C32" s="7" t="inlineStr">
        <is>
          <t>24 MY Glut</t>
        </is>
      </c>
      <c r="D32" s="7" t="inlineStr">
        <is>
          <t>Glut</t>
        </is>
      </c>
      <c r="E32" s="13" t="n">
        <v>5226</v>
      </c>
      <c r="F32" s="8" t="n">
        <v>5.178536690298508</v>
      </c>
      <c r="G32" s="14" t="n">
        <v>0.8067355530042097</v>
      </c>
      <c r="H32" s="7" t="n">
        <v>2</v>
      </c>
    </row>
    <row r="33">
      <c r="A33" s="7" t="n">
        <v>29</v>
      </c>
      <c r="B33" s="7" t="inlineStr">
        <is>
          <t>132 AHN-RCH-LHA Otp Fezf1 Glut</t>
        </is>
      </c>
      <c r="C33" s="7" t="inlineStr">
        <is>
          <t>14 HY Glut</t>
        </is>
      </c>
      <c r="D33" s="7" t="inlineStr">
        <is>
          <t>Glut</t>
        </is>
      </c>
      <c r="E33" s="13" t="n">
        <v>1882</v>
      </c>
      <c r="F33" s="8" t="n">
        <v>5.171220831827843</v>
      </c>
      <c r="G33" s="14" t="n">
        <v>0.842720510095643</v>
      </c>
      <c r="H33" s="7" t="n">
        <v>6</v>
      </c>
    </row>
    <row r="34">
      <c r="A34" s="7" t="n">
        <v>30</v>
      </c>
      <c r="B34" s="7" t="inlineStr">
        <is>
          <t>214 IPN Otp Crisp1 Gaba</t>
        </is>
      </c>
      <c r="C34" s="7" t="inlineStr">
        <is>
          <t>20 MB GABA</t>
        </is>
      </c>
      <c r="D34" s="7" t="inlineStr">
        <is>
          <t>GABA</t>
        </is>
      </c>
      <c r="E34" s="13" t="n">
        <v>3087</v>
      </c>
      <c r="F34" s="8" t="n">
        <v>5.133808227858762</v>
      </c>
      <c r="G34" s="14" t="n">
        <v>0.7952704891480402</v>
      </c>
      <c r="H34" s="7" t="n">
        <v>3</v>
      </c>
    </row>
    <row r="35">
      <c r="A35" s="7" t="n">
        <v>31</v>
      </c>
      <c r="B35" s="7" t="inlineStr">
        <is>
          <t>164 APN C1ql4 Glut</t>
        </is>
      </c>
      <c r="C35" s="7" t="inlineStr">
        <is>
          <t>19 MB Glut</t>
        </is>
      </c>
      <c r="D35" s="7" t="inlineStr">
        <is>
          <t>Glut</t>
        </is>
      </c>
      <c r="E35" s="13" t="n">
        <v>2099</v>
      </c>
      <c r="F35" s="8" t="n">
        <v>5.101512344830871</v>
      </c>
      <c r="G35" s="14" t="n">
        <v>0.7965697951405432</v>
      </c>
      <c r="H35" s="7" t="n">
        <v>4</v>
      </c>
    </row>
    <row r="36">
      <c r="A36" s="7" t="n">
        <v>32</v>
      </c>
      <c r="B36" s="7" t="inlineStr">
        <is>
          <t>148 AV Col27a1 Glut</t>
        </is>
      </c>
      <c r="C36" s="7" t="inlineStr">
        <is>
          <t>18 TH Glut</t>
        </is>
      </c>
      <c r="D36" s="7" t="inlineStr">
        <is>
          <t>Glut</t>
        </is>
      </c>
      <c r="E36" s="13" t="n">
        <v>3425</v>
      </c>
      <c r="F36" s="8" t="n">
        <v>5.058398011737226</v>
      </c>
      <c r="G36" s="14" t="n">
        <v>0.877956204379562</v>
      </c>
      <c r="H36" s="7" t="n">
        <v>4</v>
      </c>
    </row>
    <row r="37">
      <c r="A37" s="7" t="n">
        <v>33</v>
      </c>
      <c r="B37" s="7" t="inlineStr">
        <is>
          <t>247 MV-SPIV Phox2b Ebf3 Lbx1 Glut</t>
        </is>
      </c>
      <c r="C37" s="7" t="inlineStr">
        <is>
          <t>24 MY Glut</t>
        </is>
      </c>
      <c r="D37" s="7" t="inlineStr">
        <is>
          <t>Glut</t>
        </is>
      </c>
      <c r="E37" s="13" t="n">
        <v>768</v>
      </c>
      <c r="F37" s="8" t="n">
        <v>5.055110953125</v>
      </c>
      <c r="G37" s="14" t="n">
        <v>0.7942708333333334</v>
      </c>
      <c r="H37" s="7" t="n">
        <v>2</v>
      </c>
    </row>
    <row r="38">
      <c r="A38" s="7" t="n">
        <v>34</v>
      </c>
      <c r="B38" s="7" t="inlineStr">
        <is>
          <t>322 Tanycyte NN</t>
        </is>
      </c>
      <c r="C38" s="7" t="inlineStr">
        <is>
          <t>30 Astro-Epen</t>
        </is>
      </c>
      <c r="D38" s="7" t="n"/>
      <c r="E38" s="13" t="n">
        <v>1004</v>
      </c>
      <c r="F38" s="8" t="n">
        <v>5.04447215816733</v>
      </c>
      <c r="G38" s="14" t="n">
        <v>0.6852589641434262</v>
      </c>
      <c r="H38" s="7" t="n">
        <v>4</v>
      </c>
    </row>
    <row r="39">
      <c r="A39" s="7" t="n">
        <v>35</v>
      </c>
      <c r="B39" s="7" t="inlineStr">
        <is>
          <t>200 PAG-ND-PCG Onecut1 Gaba</t>
        </is>
      </c>
      <c r="C39" s="7" t="inlineStr">
        <is>
          <t>20 MB GABA</t>
        </is>
      </c>
      <c r="D39" s="7" t="inlineStr">
        <is>
          <t>GABA</t>
        </is>
      </c>
      <c r="E39" s="13" t="n">
        <v>1702</v>
      </c>
      <c r="F39" s="8" t="n">
        <v>5.033577967097532</v>
      </c>
      <c r="G39" s="14" t="n">
        <v>0.8225616921269095</v>
      </c>
      <c r="H39" s="7" t="n">
        <v>4</v>
      </c>
    </row>
    <row r="40">
      <c r="A40" s="7" t="n">
        <v>36</v>
      </c>
      <c r="B40" s="7" t="inlineStr">
        <is>
          <t>270 LDT-DTN Gata3 Nfix Gaba</t>
        </is>
      </c>
      <c r="C40" s="7" t="inlineStr">
        <is>
          <t>26 P GABA</t>
        </is>
      </c>
      <c r="D40" s="7" t="inlineStr">
        <is>
          <t>GABA</t>
        </is>
      </c>
      <c r="E40" s="13" t="n">
        <v>800</v>
      </c>
      <c r="F40" s="8" t="n">
        <v>5.032489972500001</v>
      </c>
      <c r="G40" s="14" t="n">
        <v>0.83375</v>
      </c>
      <c r="H40" s="7" t="n">
        <v>4</v>
      </c>
    </row>
    <row r="41">
      <c r="A41" s="7" t="n">
        <v>37</v>
      </c>
      <c r="B41" s="7" t="inlineStr">
        <is>
          <t>031 CT SUB Glut</t>
        </is>
      </c>
      <c r="C41" s="7" t="inlineStr">
        <is>
          <t>02 NP-CT-L6b Glut</t>
        </is>
      </c>
      <c r="D41" s="7" t="inlineStr">
        <is>
          <t>Glut</t>
        </is>
      </c>
      <c r="E41" s="13" t="n">
        <v>1951</v>
      </c>
      <c r="F41" s="8" t="n">
        <v>5.030775459764223</v>
      </c>
      <c r="G41" s="14" t="n">
        <v>0.8124038954382368</v>
      </c>
      <c r="H41" s="7" t="n">
        <v>3</v>
      </c>
    </row>
    <row r="42">
      <c r="A42" s="7" t="n">
        <v>38</v>
      </c>
      <c r="B42" s="7" t="inlineStr">
        <is>
          <t>156 MB-ant-ve Dmrta2 Glut</t>
        </is>
      </c>
      <c r="C42" s="7" t="inlineStr">
        <is>
          <t>19 MB Glut</t>
        </is>
      </c>
      <c r="D42" s="7" t="inlineStr">
        <is>
          <t>Glut</t>
        </is>
      </c>
      <c r="E42" s="13" t="n">
        <v>542</v>
      </c>
      <c r="F42" s="8" t="n">
        <v>5.030028789852399</v>
      </c>
      <c r="G42" s="14" t="n">
        <v>0.8413284132841329</v>
      </c>
      <c r="H42" s="7" t="n">
        <v>6</v>
      </c>
    </row>
    <row r="43">
      <c r="A43" s="7" t="n">
        <v>39</v>
      </c>
      <c r="B43" s="7" t="inlineStr">
        <is>
          <t>237 PRP-NI-PRNc-GRN Otp Glut</t>
        </is>
      </c>
      <c r="C43" s="7" t="inlineStr">
        <is>
          <t>24 MY Glut</t>
        </is>
      </c>
      <c r="D43" s="7" t="inlineStr">
        <is>
          <t>Glut</t>
        </is>
      </c>
      <c r="E43" s="13" t="n">
        <v>1275</v>
      </c>
      <c r="F43" s="8" t="n">
        <v>5.025811823372549</v>
      </c>
      <c r="G43" s="14" t="n">
        <v>0.807843137254902</v>
      </c>
      <c r="H43" s="7" t="n">
        <v>3</v>
      </c>
    </row>
    <row r="44">
      <c r="A44" s="7" t="n">
        <v>40</v>
      </c>
      <c r="B44" s="7" t="inlineStr">
        <is>
          <t>264 PRNc Otp Gly-Gaba</t>
        </is>
      </c>
      <c r="C44" s="7" t="inlineStr">
        <is>
          <t>26 P GABA</t>
        </is>
      </c>
      <c r="D44" s="7" t="inlineStr">
        <is>
          <t>GABA-Glyc</t>
        </is>
      </c>
      <c r="E44" s="13" t="n">
        <v>1943</v>
      </c>
      <c r="F44" s="8" t="n">
        <v>5.018579577354607</v>
      </c>
      <c r="G44" s="14" t="n">
        <v>0.8069994853319609</v>
      </c>
      <c r="H44" s="7" t="n">
        <v>4</v>
      </c>
    </row>
    <row r="45">
      <c r="A45" s="7" t="n">
        <v>41</v>
      </c>
      <c r="B45" s="7" t="inlineStr">
        <is>
          <t>160 PAG-SC Neurod2 Meis2 Glut</t>
        </is>
      </c>
      <c r="C45" s="7" t="inlineStr">
        <is>
          <t>19 MB Glut</t>
        </is>
      </c>
      <c r="D45" s="7" t="inlineStr">
        <is>
          <t>Glut</t>
        </is>
      </c>
      <c r="E45" s="13" t="n">
        <v>2216</v>
      </c>
      <c r="F45" s="8" t="n">
        <v>5.002568691832131</v>
      </c>
      <c r="G45" s="14" t="n">
        <v>0.7788808664259927</v>
      </c>
      <c r="H45" s="7" t="n">
        <v>5</v>
      </c>
    </row>
    <row r="46">
      <c r="A46" s="7" t="n">
        <v>42</v>
      </c>
      <c r="B46" s="7" t="inlineStr">
        <is>
          <t>175 SC Bnc2 Glut</t>
        </is>
      </c>
      <c r="C46" s="7" t="inlineStr">
        <is>
          <t>19 MB Glut</t>
        </is>
      </c>
      <c r="D46" s="7" t="inlineStr">
        <is>
          <t>Glut</t>
        </is>
      </c>
      <c r="E46" s="13" t="n">
        <v>1129</v>
      </c>
      <c r="F46" s="8" t="n">
        <v>4.984948</v>
      </c>
      <c r="G46" s="14" t="n">
        <v>0.7803365810451727</v>
      </c>
      <c r="H46" s="7" t="n">
        <v>1</v>
      </c>
    </row>
    <row r="47">
      <c r="A47" s="7" t="n">
        <v>43</v>
      </c>
      <c r="B47" s="7" t="inlineStr">
        <is>
          <t>267 CS-PRNr-PCG Tmem163 Otp Gaba</t>
        </is>
      </c>
      <c r="C47" s="7" t="inlineStr">
        <is>
          <t>26 P GABA</t>
        </is>
      </c>
      <c r="D47" s="7" t="inlineStr">
        <is>
          <t>GABA</t>
        </is>
      </c>
      <c r="E47" s="13" t="n">
        <v>1191</v>
      </c>
      <c r="F47" s="8" t="n">
        <v>4.980223737699412</v>
      </c>
      <c r="G47" s="14" t="n">
        <v>0.7959697732997482</v>
      </c>
      <c r="H47" s="7" t="n">
        <v>4</v>
      </c>
    </row>
    <row r="48">
      <c r="A48" s="7" t="n">
        <v>44</v>
      </c>
      <c r="B48" s="7" t="inlineStr">
        <is>
          <t>277 DTN-LDT-IPN Otp Pax3 Gaba</t>
        </is>
      </c>
      <c r="C48" s="7" t="inlineStr">
        <is>
          <t>26 P GABA</t>
        </is>
      </c>
      <c r="D48" s="7" t="inlineStr">
        <is>
          <t>GABA</t>
        </is>
      </c>
      <c r="E48" s="13" t="n">
        <v>4055</v>
      </c>
      <c r="F48" s="8" t="n">
        <v>4.939940250406905</v>
      </c>
      <c r="G48" s="14" t="n">
        <v>0.7718865598027127</v>
      </c>
      <c r="H48" s="7" t="n">
        <v>3</v>
      </c>
    </row>
    <row r="49">
      <c r="A49" s="7" t="n">
        <v>45</v>
      </c>
      <c r="B49" s="7" t="inlineStr">
        <is>
          <t>124 MPN-MPO-PVpo Hmx2 Glut</t>
        </is>
      </c>
      <c r="C49" s="7" t="inlineStr">
        <is>
          <t>14 HY Glut</t>
        </is>
      </c>
      <c r="D49" s="7" t="inlineStr">
        <is>
          <t>Glut</t>
        </is>
      </c>
      <c r="E49" s="13" t="n">
        <v>2942</v>
      </c>
      <c r="F49" s="8" t="n">
        <v>4.932734414072059</v>
      </c>
      <c r="G49" s="14" t="n">
        <v>0.8076138681169273</v>
      </c>
      <c r="H49" s="7" t="n">
        <v>5</v>
      </c>
    </row>
    <row r="50">
      <c r="A50" s="7" t="n">
        <v>46</v>
      </c>
      <c r="B50" s="7" t="inlineStr">
        <is>
          <t>095 DMH Prdm13 Gaba</t>
        </is>
      </c>
      <c r="C50" s="7" t="inlineStr">
        <is>
          <t>12 HY GABA</t>
        </is>
      </c>
      <c r="D50" s="7" t="inlineStr">
        <is>
          <t>GABA</t>
        </is>
      </c>
      <c r="E50" s="13" t="n">
        <v>1426</v>
      </c>
      <c r="F50" s="8" t="n">
        <v>4.909536312272089</v>
      </c>
      <c r="G50" s="14" t="n">
        <v>0.7468443197755961</v>
      </c>
      <c r="H50" s="7" t="n">
        <v>4</v>
      </c>
    </row>
    <row r="51">
      <c r="A51" s="7" t="n">
        <v>47</v>
      </c>
      <c r="B51" s="7" t="inlineStr">
        <is>
          <t>193 MRN-PPN-CUN Pax8 Gaba</t>
        </is>
      </c>
      <c r="C51" s="7" t="inlineStr">
        <is>
          <t>20 MB GABA</t>
        </is>
      </c>
      <c r="D51" s="7" t="inlineStr">
        <is>
          <t>GABA</t>
        </is>
      </c>
      <c r="E51" s="13" t="n">
        <v>910</v>
      </c>
      <c r="F51" s="8" t="n">
        <v>4.908212078351649</v>
      </c>
      <c r="G51" s="14" t="n">
        <v>0.7725274725274726</v>
      </c>
      <c r="H51" s="7" t="n">
        <v>3</v>
      </c>
    </row>
    <row r="52">
      <c r="A52" s="7" t="n">
        <v>48</v>
      </c>
      <c r="B52" s="7" t="inlineStr">
        <is>
          <t>102 DMH-LHA Gsx1 Gaba</t>
        </is>
      </c>
      <c r="C52" s="7" t="inlineStr">
        <is>
          <t>12 HY GABA</t>
        </is>
      </c>
      <c r="D52" s="7" t="inlineStr">
        <is>
          <t>GABA</t>
        </is>
      </c>
      <c r="E52" s="13" t="n">
        <v>3497</v>
      </c>
      <c r="F52" s="8" t="n">
        <v>4.887739479525307</v>
      </c>
      <c r="G52" s="14" t="n">
        <v>0.7806691449814126</v>
      </c>
      <c r="H52" s="7" t="n">
        <v>6</v>
      </c>
    </row>
    <row r="53">
      <c r="A53" s="7" t="n">
        <v>49</v>
      </c>
      <c r="B53" s="7" t="inlineStr">
        <is>
          <t>154 PF Fzd5 Glut</t>
        </is>
      </c>
      <c r="C53" s="7" t="inlineStr">
        <is>
          <t>18 TH Glut</t>
        </is>
      </c>
      <c r="D53" s="7" t="inlineStr">
        <is>
          <t>Glut</t>
        </is>
      </c>
      <c r="E53" s="13" t="n">
        <v>2703</v>
      </c>
      <c r="F53" s="8" t="n">
        <v>4.886765109285979</v>
      </c>
      <c r="G53" s="14" t="n">
        <v>0.8261191268960414</v>
      </c>
      <c r="H53" s="7" t="n">
        <v>4</v>
      </c>
    </row>
    <row r="54">
      <c r="A54" s="7" t="n">
        <v>50</v>
      </c>
      <c r="B54" s="7" t="inlineStr">
        <is>
          <t>192 PPN-CUN-PCG Otp En1 Gaba</t>
        </is>
      </c>
      <c r="C54" s="7" t="inlineStr">
        <is>
          <t>20 MB GABA</t>
        </is>
      </c>
      <c r="D54" s="7" t="inlineStr">
        <is>
          <t>GABA</t>
        </is>
      </c>
      <c r="E54" s="13" t="n">
        <v>1296</v>
      </c>
      <c r="F54" s="8" t="n">
        <v>4.877574352006173</v>
      </c>
      <c r="G54" s="14" t="n">
        <v>0.7716049382716049</v>
      </c>
      <c r="H54" s="7" t="n">
        <v>4</v>
      </c>
    </row>
    <row r="55">
      <c r="A55" s="7" t="n">
        <v>51</v>
      </c>
      <c r="B55" s="7" t="inlineStr">
        <is>
          <t>272 LDT-PCG-CS Gata3 Lhx1 Gaba</t>
        </is>
      </c>
      <c r="C55" s="7" t="inlineStr">
        <is>
          <t>26 P GABA</t>
        </is>
      </c>
      <c r="D55" s="7" t="inlineStr">
        <is>
          <t>GABA</t>
        </is>
      </c>
      <c r="E55" s="13" t="n">
        <v>1107</v>
      </c>
      <c r="F55" s="8" t="n">
        <v>4.860091536133695</v>
      </c>
      <c r="G55" s="14" t="n">
        <v>0.7985546522131888</v>
      </c>
      <c r="H55" s="7" t="n">
        <v>3</v>
      </c>
    </row>
    <row r="56">
      <c r="A56" s="7" t="n">
        <v>52</v>
      </c>
      <c r="B56" s="7" t="inlineStr">
        <is>
          <t>271 NI-RPO Gata3 Nr4a2 Gaba</t>
        </is>
      </c>
      <c r="C56" s="7" t="inlineStr">
        <is>
          <t>26 P GABA</t>
        </is>
      </c>
      <c r="D56" s="7" t="inlineStr">
        <is>
          <t>GABA</t>
        </is>
      </c>
      <c r="E56" s="13" t="n">
        <v>951</v>
      </c>
      <c r="F56" s="8" t="n">
        <v>4.857361367402733</v>
      </c>
      <c r="G56" s="14" t="n">
        <v>0.7875920084121977</v>
      </c>
      <c r="H56" s="7" t="n">
        <v>3</v>
      </c>
    </row>
    <row r="57">
      <c r="A57" s="7" t="n">
        <v>53</v>
      </c>
      <c r="B57" s="7" t="inlineStr">
        <is>
          <t>123 DMH Nkx2-4 Glut</t>
        </is>
      </c>
      <c r="C57" s="7" t="inlineStr">
        <is>
          <t>14 HY Glut</t>
        </is>
      </c>
      <c r="D57" s="7" t="inlineStr">
        <is>
          <t>Glut</t>
        </is>
      </c>
      <c r="E57" s="13" t="n">
        <v>2165</v>
      </c>
      <c r="F57" s="8" t="n">
        <v>4.830168341154734</v>
      </c>
      <c r="G57" s="14" t="n">
        <v>0.7325635103926097</v>
      </c>
      <c r="H57" s="7" t="n">
        <v>2</v>
      </c>
    </row>
    <row r="58">
      <c r="A58" s="7" t="n">
        <v>54</v>
      </c>
      <c r="B58" s="7" t="inlineStr">
        <is>
          <t>275 PDTg Otp Olig3 Gaba</t>
        </is>
      </c>
      <c r="C58" s="7" t="inlineStr">
        <is>
          <t>26 P GABA</t>
        </is>
      </c>
      <c r="D58" s="7" t="inlineStr">
        <is>
          <t>GABA</t>
        </is>
      </c>
      <c r="E58" s="13" t="n">
        <v>1105</v>
      </c>
      <c r="F58" s="8" t="n">
        <v>4.828784452579186</v>
      </c>
      <c r="G58" s="14" t="n">
        <v>0.7873303167420814</v>
      </c>
      <c r="H58" s="7" t="n">
        <v>3</v>
      </c>
    </row>
    <row r="59">
      <c r="A59" s="7" t="n">
        <v>55</v>
      </c>
      <c r="B59" s="7" t="inlineStr">
        <is>
          <t>146 LH Pou4f1 Sox1 Glut</t>
        </is>
      </c>
      <c r="C59" s="7" t="inlineStr">
        <is>
          <t>17 MH-LH Glut</t>
        </is>
      </c>
      <c r="D59" s="7" t="inlineStr">
        <is>
          <t>Glut</t>
        </is>
      </c>
      <c r="E59" s="13" t="n">
        <v>1413</v>
      </c>
      <c r="F59" s="8" t="n">
        <v>4.819603924769994</v>
      </c>
      <c r="G59" s="14" t="n">
        <v>0.7876857749469215</v>
      </c>
      <c r="H59" s="7" t="n">
        <v>4</v>
      </c>
    </row>
    <row r="60">
      <c r="A60" s="7" t="n">
        <v>56</v>
      </c>
      <c r="B60" s="7" t="inlineStr">
        <is>
          <t>099 SBPV-PVa Six6 Satb2 Gaba</t>
        </is>
      </c>
      <c r="C60" s="7" t="inlineStr">
        <is>
          <t>12 HY GABA</t>
        </is>
      </c>
      <c r="D60" s="7" t="inlineStr">
        <is>
          <t>GABA</t>
        </is>
      </c>
      <c r="E60" s="13" t="n">
        <v>1754</v>
      </c>
      <c r="F60" s="8" t="n">
        <v>4.817880724515394</v>
      </c>
      <c r="G60" s="14" t="n">
        <v>0.7611174458380844</v>
      </c>
      <c r="H60" s="7" t="n">
        <v>3</v>
      </c>
    </row>
    <row r="61">
      <c r="A61" s="7" t="n">
        <v>57</v>
      </c>
      <c r="B61" s="7" t="inlineStr">
        <is>
          <t>269 LDT Fgf7 Gaba</t>
        </is>
      </c>
      <c r="C61" s="7" t="inlineStr">
        <is>
          <t>26 P GABA</t>
        </is>
      </c>
      <c r="D61" s="7" t="inlineStr">
        <is>
          <t>GABA</t>
        </is>
      </c>
      <c r="E61" s="13" t="n">
        <v>518</v>
      </c>
      <c r="F61" s="8" t="n">
        <v>4.817842577606178</v>
      </c>
      <c r="G61" s="14" t="n">
        <v>0.7953667953667953</v>
      </c>
      <c r="H61" s="7" t="n">
        <v>3</v>
      </c>
    </row>
    <row r="62">
      <c r="A62" s="7" t="n">
        <v>58</v>
      </c>
      <c r="B62" s="7" t="inlineStr">
        <is>
          <t>134 PH-ant-LHA Otp Bsx Glut</t>
        </is>
      </c>
      <c r="C62" s="7" t="inlineStr">
        <is>
          <t>14 HY Glut</t>
        </is>
      </c>
      <c r="D62" s="7" t="inlineStr">
        <is>
          <t>Glut</t>
        </is>
      </c>
      <c r="E62" s="13" t="n">
        <v>3519</v>
      </c>
      <c r="F62" s="8" t="n">
        <v>4.81205645069622</v>
      </c>
      <c r="G62" s="14" t="n">
        <v>0.7868712702472294</v>
      </c>
      <c r="H62" s="7" t="n">
        <v>7</v>
      </c>
    </row>
    <row r="63">
      <c r="A63" s="7" t="n">
        <v>59</v>
      </c>
      <c r="B63" s="7" t="inlineStr">
        <is>
          <t>166 MRN Pou3f1 C1ql4 Glut</t>
        </is>
      </c>
      <c r="C63" s="7" t="inlineStr">
        <is>
          <t>19 MB Glut</t>
        </is>
      </c>
      <c r="D63" s="7" t="inlineStr">
        <is>
          <t>Glut</t>
        </is>
      </c>
      <c r="E63" s="13" t="n">
        <v>561</v>
      </c>
      <c r="F63" s="8" t="n">
        <v>4.809231432085562</v>
      </c>
      <c r="G63" s="14" t="n">
        <v>0.7932263814616756</v>
      </c>
      <c r="H63" s="7" t="n">
        <v>2</v>
      </c>
    </row>
    <row r="64">
      <c r="A64" s="7" t="n">
        <v>60</v>
      </c>
      <c r="B64" s="7" t="inlineStr">
        <is>
          <t>162 CUN Evx2 Lhx2 Glut</t>
        </is>
      </c>
      <c r="C64" s="7" t="inlineStr">
        <is>
          <t>19 MB Glut</t>
        </is>
      </c>
      <c r="D64" s="7" t="inlineStr">
        <is>
          <t>Glut</t>
        </is>
      </c>
      <c r="E64" s="13" t="n">
        <v>2308</v>
      </c>
      <c r="F64" s="8" t="n">
        <v>4.80508876347487</v>
      </c>
      <c r="G64" s="14" t="n">
        <v>0.7790294627383015</v>
      </c>
      <c r="H64" s="7" t="n">
        <v>3</v>
      </c>
    </row>
    <row r="65">
      <c r="A65" s="7" t="n">
        <v>61</v>
      </c>
      <c r="B65" s="7" t="inlineStr">
        <is>
          <t>245 SPVI-SPVC Tlx3 Ebf3 Glut</t>
        </is>
      </c>
      <c r="C65" s="7" t="inlineStr">
        <is>
          <t>24 MY Glut</t>
        </is>
      </c>
      <c r="D65" s="7" t="inlineStr">
        <is>
          <t>Glut</t>
        </is>
      </c>
      <c r="E65" s="13" t="n">
        <v>2950</v>
      </c>
      <c r="F65" s="8" t="n">
        <v>4.80229300759322</v>
      </c>
      <c r="G65" s="14" t="n">
        <v>0.763728813559322</v>
      </c>
      <c r="H65" s="7" t="n">
        <v>3</v>
      </c>
    </row>
    <row r="66">
      <c r="A66" s="7" t="n">
        <v>62</v>
      </c>
      <c r="B66" s="7" t="inlineStr">
        <is>
          <t>097 PVHd-SBPV Six3 Prox1 Gaba</t>
        </is>
      </c>
      <c r="C66" s="7" t="inlineStr">
        <is>
          <t>12 HY GABA</t>
        </is>
      </c>
      <c r="D66" s="7" t="inlineStr">
        <is>
          <t>GABA</t>
        </is>
      </c>
      <c r="E66" s="13" t="n">
        <v>1905</v>
      </c>
      <c r="F66" s="8" t="n">
        <v>4.800138625301837</v>
      </c>
      <c r="G66" s="14" t="n">
        <v>0.7627296587926509</v>
      </c>
      <c r="H66" s="7" t="n">
        <v>7</v>
      </c>
    </row>
    <row r="67">
      <c r="A67" s="7" t="n">
        <v>63</v>
      </c>
      <c r="B67" s="7" t="inlineStr">
        <is>
          <t>108 ARH-PVp Tbx3 Gaba</t>
        </is>
      </c>
      <c r="C67" s="7" t="inlineStr">
        <is>
          <t>12 HY GABA</t>
        </is>
      </c>
      <c r="D67" s="7" t="inlineStr">
        <is>
          <t>GABA</t>
        </is>
      </c>
      <c r="E67" s="13" t="n">
        <v>1749</v>
      </c>
      <c r="F67" s="8" t="n">
        <v>4.797431749056605</v>
      </c>
      <c r="G67" s="14" t="n">
        <v>0.7712978845054317</v>
      </c>
      <c r="H67" s="7" t="n">
        <v>4</v>
      </c>
    </row>
    <row r="68">
      <c r="A68" s="7" t="n">
        <v>64</v>
      </c>
      <c r="B68" s="7" t="inlineStr">
        <is>
          <t>098 AHN-SBPV-PVHd Pdrm12 Gaba</t>
        </is>
      </c>
      <c r="C68" s="7" t="inlineStr">
        <is>
          <t>12 HY GABA</t>
        </is>
      </c>
      <c r="D68" s="7" t="inlineStr">
        <is>
          <t>GABA</t>
        </is>
      </c>
      <c r="E68" s="13" t="n">
        <v>2915</v>
      </c>
      <c r="F68" s="8" t="n">
        <v>4.794875217941681</v>
      </c>
      <c r="G68" s="14" t="n">
        <v>0.7656946826758148</v>
      </c>
      <c r="H68" s="7" t="n">
        <v>5</v>
      </c>
    </row>
    <row r="69">
      <c r="A69" s="7" t="n">
        <v>65</v>
      </c>
      <c r="B69" s="7" t="inlineStr">
        <is>
          <t>263 CS-RPO Meis2 Gaba</t>
        </is>
      </c>
      <c r="C69" s="7" t="inlineStr">
        <is>
          <t>26 P GABA</t>
        </is>
      </c>
      <c r="D69" s="7" t="inlineStr">
        <is>
          <t>GABA</t>
        </is>
      </c>
      <c r="E69" s="13" t="n">
        <v>1522</v>
      </c>
      <c r="F69" s="8" t="n">
        <v>4.794762600788436</v>
      </c>
      <c r="G69" s="14" t="n">
        <v>0.7647831800262812</v>
      </c>
      <c r="H69" s="7" t="n">
        <v>3</v>
      </c>
    </row>
    <row r="70">
      <c r="A70" s="7" t="n">
        <v>66</v>
      </c>
      <c r="B70" s="7" t="inlineStr">
        <is>
          <t>100 AHN Onecut3 Gaba</t>
        </is>
      </c>
      <c r="C70" s="7" t="inlineStr">
        <is>
          <t>12 HY GABA</t>
        </is>
      </c>
      <c r="D70" s="7" t="inlineStr">
        <is>
          <t>GABA</t>
        </is>
      </c>
      <c r="E70" s="13" t="n">
        <v>1122</v>
      </c>
      <c r="F70" s="8" t="n">
        <v>4.783795751336898</v>
      </c>
      <c r="G70" s="14" t="n">
        <v>0.785204991087344</v>
      </c>
      <c r="H70" s="7" t="n">
        <v>3</v>
      </c>
    </row>
    <row r="71">
      <c r="A71" s="7" t="n">
        <v>67</v>
      </c>
      <c r="B71" s="7" t="inlineStr">
        <is>
          <t>258 SPVC Nmu Glut</t>
        </is>
      </c>
      <c r="C71" s="7" t="inlineStr">
        <is>
          <t>24 MY Glut</t>
        </is>
      </c>
      <c r="D71" s="7" t="inlineStr">
        <is>
          <t>Glut</t>
        </is>
      </c>
      <c r="E71" s="13" t="n">
        <v>960</v>
      </c>
      <c r="F71" s="8" t="n">
        <v>4.7721925</v>
      </c>
      <c r="G71" s="14" t="n">
        <v>0.7354166666666667</v>
      </c>
      <c r="H71" s="7" t="n">
        <v>1</v>
      </c>
    </row>
    <row r="72">
      <c r="A72" s="7" t="n">
        <v>68</v>
      </c>
      <c r="B72" s="7" t="inlineStr">
        <is>
          <t>212 SCs Lef1 Gli3 Gaba</t>
        </is>
      </c>
      <c r="C72" s="7" t="inlineStr">
        <is>
          <t>20 MB GABA</t>
        </is>
      </c>
      <c r="D72" s="7" t="inlineStr">
        <is>
          <t>GABA</t>
        </is>
      </c>
      <c r="E72" s="13" t="n">
        <v>1349</v>
      </c>
      <c r="F72" s="8" t="n">
        <v>4.771060882876204</v>
      </c>
      <c r="G72" s="14" t="n">
        <v>0.7242401779095626</v>
      </c>
      <c r="H72" s="7" t="n">
        <v>2</v>
      </c>
    </row>
    <row r="73">
      <c r="A73" s="7" t="n">
        <v>69</v>
      </c>
      <c r="B73" s="7" t="inlineStr">
        <is>
          <t>101 ZI Pax6 Gaba</t>
        </is>
      </c>
      <c r="C73" s="7" t="inlineStr">
        <is>
          <t>12 HY GABA</t>
        </is>
      </c>
      <c r="D73" s="7" t="inlineStr">
        <is>
          <t>GABA</t>
        </is>
      </c>
      <c r="E73" s="13" t="n">
        <v>6570</v>
      </c>
      <c r="F73" s="8" t="n">
        <v>4.769509298493151</v>
      </c>
      <c r="G73" s="14" t="n">
        <v>0.776103500761035</v>
      </c>
      <c r="H73" s="7" t="n">
        <v>7</v>
      </c>
    </row>
    <row r="74">
      <c r="A74" s="7" t="n">
        <v>70</v>
      </c>
      <c r="B74" s="7" t="inlineStr">
        <is>
          <t>135 STN-PSTN Pitx2 Glut</t>
        </is>
      </c>
      <c r="C74" s="7" t="inlineStr">
        <is>
          <t>14 HY Glut</t>
        </is>
      </c>
      <c r="D74" s="7" t="inlineStr">
        <is>
          <t>Glut</t>
        </is>
      </c>
      <c r="E74" s="13" t="n">
        <v>3251</v>
      </c>
      <c r="F74" s="8" t="n">
        <v>4.768354658997231</v>
      </c>
      <c r="G74" s="14" t="n">
        <v>0.8046754844663181</v>
      </c>
      <c r="H74" s="7" t="n">
        <v>6</v>
      </c>
    </row>
    <row r="75">
      <c r="A75" s="7" t="n">
        <v>71</v>
      </c>
      <c r="B75" s="7" t="inlineStr">
        <is>
          <t>276 LDT-PCG St18 Gaba</t>
        </is>
      </c>
      <c r="C75" s="7" t="inlineStr">
        <is>
          <t>26 P GABA</t>
        </is>
      </c>
      <c r="D75" s="7" t="inlineStr">
        <is>
          <t>GABA</t>
        </is>
      </c>
      <c r="E75" s="13" t="n">
        <v>1091</v>
      </c>
      <c r="F75" s="8" t="n">
        <v>4.766043290284143</v>
      </c>
      <c r="G75" s="14" t="n">
        <v>0.7598533455545371</v>
      </c>
      <c r="H75" s="7" t="n">
        <v>4</v>
      </c>
    </row>
    <row r="76">
      <c r="A76" s="7" t="n">
        <v>72</v>
      </c>
      <c r="B76" s="7" t="inlineStr">
        <is>
          <t>117 LHA Barhl2 Glut</t>
        </is>
      </c>
      <c r="C76" s="7" t="inlineStr">
        <is>
          <t>13 CNU-HYa Glut</t>
        </is>
      </c>
      <c r="D76" s="7" t="inlineStr">
        <is>
          <t>Glut</t>
        </is>
      </c>
      <c r="E76" s="13" t="n">
        <v>778</v>
      </c>
      <c r="F76" s="8" t="n">
        <v>4.765489179691516</v>
      </c>
      <c r="G76" s="14" t="n">
        <v>0.7827763496143959</v>
      </c>
      <c r="H76" s="7" t="n">
        <v>8</v>
      </c>
    </row>
    <row r="77">
      <c r="A77" s="7" t="n">
        <v>73</v>
      </c>
      <c r="B77" s="7" t="inlineStr">
        <is>
          <t>285 MY Lhx1 Gly-Gaba</t>
        </is>
      </c>
      <c r="C77" s="7" t="inlineStr">
        <is>
          <t>27 MY GABA</t>
        </is>
      </c>
      <c r="D77" s="7" t="inlineStr">
        <is>
          <t>GABA</t>
        </is>
      </c>
      <c r="E77" s="13" t="n">
        <v>2455</v>
      </c>
      <c r="F77" s="8" t="n">
        <v>4.761133768839104</v>
      </c>
      <c r="G77" s="14" t="n">
        <v>0.7963340122199593</v>
      </c>
      <c r="H77" s="7" t="n">
        <v>5</v>
      </c>
    </row>
    <row r="78">
      <c r="A78" s="7" t="n">
        <v>74</v>
      </c>
      <c r="B78" s="7" t="inlineStr">
        <is>
          <t>235 PG-TRN-LRN Fat2 Glut</t>
        </is>
      </c>
      <c r="C78" s="7" t="inlineStr">
        <is>
          <t>23 P Glut</t>
        </is>
      </c>
      <c r="D78" s="7" t="inlineStr">
        <is>
          <t>Glut</t>
        </is>
      </c>
      <c r="E78" s="13" t="n">
        <v>3889</v>
      </c>
      <c r="F78" s="8" t="n">
        <v>4.756499442041656</v>
      </c>
      <c r="G78" s="14" t="n">
        <v>0.8079197737207509</v>
      </c>
      <c r="H78" s="7" t="n">
        <v>5</v>
      </c>
    </row>
    <row r="79">
      <c r="A79" s="7" t="n">
        <v>75</v>
      </c>
      <c r="B79" s="7" t="inlineStr">
        <is>
          <t>229 PB-NTS Phox2b Ebf3 Lmx1b Glut</t>
        </is>
      </c>
      <c r="C79" s="7" t="inlineStr">
        <is>
          <t>23 P Glut</t>
        </is>
      </c>
      <c r="D79" s="7" t="inlineStr">
        <is>
          <t>Glut</t>
        </is>
      </c>
      <c r="E79" s="13" t="n">
        <v>883</v>
      </c>
      <c r="F79" s="8" t="n">
        <v>4.753203264665912</v>
      </c>
      <c r="G79" s="14" t="n">
        <v>0.782559456398641</v>
      </c>
      <c r="H79" s="7" t="n">
        <v>3</v>
      </c>
    </row>
    <row r="80">
      <c r="A80" s="7" t="n">
        <v>76</v>
      </c>
      <c r="B80" s="7" t="inlineStr">
        <is>
          <t>295 CBN Dmbx1 Gaba</t>
        </is>
      </c>
      <c r="C80" s="7" t="inlineStr">
        <is>
          <t>27 MY GABA</t>
        </is>
      </c>
      <c r="D80" s="7" t="inlineStr">
        <is>
          <t>GABA</t>
        </is>
      </c>
      <c r="E80" s="13" t="n">
        <v>3641</v>
      </c>
      <c r="F80" s="8" t="n">
        <v>4.751001994507004</v>
      </c>
      <c r="G80" s="14" t="n">
        <v>0.784674539961549</v>
      </c>
      <c r="H80" s="7" t="n">
        <v>4</v>
      </c>
    </row>
    <row r="81">
      <c r="A81" s="7" t="n">
        <v>77</v>
      </c>
      <c r="B81" s="7" t="inlineStr">
        <is>
          <t>161 PAG Pou4f3 Glut</t>
        </is>
      </c>
      <c r="C81" s="7" t="inlineStr">
        <is>
          <t>19 MB Glut</t>
        </is>
      </c>
      <c r="D81" s="7" t="inlineStr">
        <is>
          <t>Glut</t>
        </is>
      </c>
      <c r="E81" s="13" t="n">
        <v>3090</v>
      </c>
      <c r="F81" s="8" t="n">
        <v>4.745617904207119</v>
      </c>
      <c r="G81" s="14" t="n">
        <v>0.7644012944983819</v>
      </c>
      <c r="H81" s="7" t="n">
        <v>2</v>
      </c>
    </row>
    <row r="82">
      <c r="A82" s="7" t="n">
        <v>78</v>
      </c>
      <c r="B82" s="7" t="inlineStr">
        <is>
          <t>171 PAG Pou4f1 Bnc2 Glut</t>
        </is>
      </c>
      <c r="C82" s="7" t="inlineStr">
        <is>
          <t>19 MB Glut</t>
        </is>
      </c>
      <c r="D82" s="7" t="inlineStr">
        <is>
          <t>Glut</t>
        </is>
      </c>
      <c r="E82" s="13" t="n">
        <v>1973</v>
      </c>
      <c r="F82" s="8" t="n">
        <v>4.740257059706031</v>
      </c>
      <c r="G82" s="14" t="n">
        <v>0.7729346173340091</v>
      </c>
      <c r="H82" s="7" t="n">
        <v>3</v>
      </c>
    </row>
    <row r="83">
      <c r="A83" s="7" t="n">
        <v>79</v>
      </c>
      <c r="B83" s="7" t="inlineStr">
        <is>
          <t>107 DMH Hmx2 Gaba</t>
        </is>
      </c>
      <c r="C83" s="7" t="inlineStr">
        <is>
          <t>12 HY GABA</t>
        </is>
      </c>
      <c r="D83" s="7" t="inlineStr">
        <is>
          <t>GABA</t>
        </is>
      </c>
      <c r="E83" s="13" t="n">
        <v>3333</v>
      </c>
      <c r="F83" s="8" t="n">
        <v>4.734984609510951</v>
      </c>
      <c r="G83" s="14" t="n">
        <v>0.7755775577557755</v>
      </c>
      <c r="H83" s="7" t="n">
        <v>5</v>
      </c>
    </row>
    <row r="84">
      <c r="A84" s="7" t="n">
        <v>80</v>
      </c>
      <c r="B84" s="7" t="inlineStr">
        <is>
          <t>224 PCG-PRNr Vsx2 Nkx6-1 Glut</t>
        </is>
      </c>
      <c r="C84" s="7" t="inlineStr">
        <is>
          <t>23 P Glut</t>
        </is>
      </c>
      <c r="D84" s="7" t="inlineStr">
        <is>
          <t>Glut</t>
        </is>
      </c>
      <c r="E84" s="13" t="n">
        <v>1912</v>
      </c>
      <c r="F84" s="8" t="n">
        <v>4.726149527458159</v>
      </c>
      <c r="G84" s="14" t="n">
        <v>0.7698744769874477</v>
      </c>
      <c r="H84" s="7" t="n">
        <v>3</v>
      </c>
    </row>
    <row r="85">
      <c r="A85" s="7" t="n">
        <v>81</v>
      </c>
      <c r="B85" s="7" t="inlineStr">
        <is>
          <t>199 PAG-MRN-RN Foxa2 Gaba</t>
        </is>
      </c>
      <c r="C85" s="7" t="inlineStr">
        <is>
          <t>20 MB GABA</t>
        </is>
      </c>
      <c r="D85" s="7" t="inlineStr">
        <is>
          <t>GABA</t>
        </is>
      </c>
      <c r="E85" s="13" t="n">
        <v>1599</v>
      </c>
      <c r="F85" s="8" t="n">
        <v>4.718408177923702</v>
      </c>
      <c r="G85" s="14" t="n">
        <v>0.7879924953095685</v>
      </c>
      <c r="H85" s="7" t="n">
        <v>3</v>
      </c>
    </row>
    <row r="86">
      <c r="A86" s="7" t="n">
        <v>82</v>
      </c>
      <c r="B86" s="7" t="inlineStr">
        <is>
          <t>201 PAG-RN Nkx2-2 Otx1 Gaba</t>
        </is>
      </c>
      <c r="C86" s="7" t="inlineStr">
        <is>
          <t>20 MB GABA</t>
        </is>
      </c>
      <c r="D86" s="7" t="inlineStr">
        <is>
          <t>GABA-Glyc</t>
        </is>
      </c>
      <c r="E86" s="13" t="n">
        <v>3440</v>
      </c>
      <c r="F86" s="8" t="n">
        <v>4.698692105523255</v>
      </c>
      <c r="G86" s="14" t="n">
        <v>0.7709302325581395</v>
      </c>
      <c r="H86" s="7" t="n">
        <v>4</v>
      </c>
    </row>
    <row r="87">
      <c r="A87" s="7" t="n">
        <v>83</v>
      </c>
      <c r="B87" s="7" t="inlineStr">
        <is>
          <t>104 TU-ARH Otp Six6 Gaba</t>
        </is>
      </c>
      <c r="C87" s="7" t="inlineStr">
        <is>
          <t>12 HY GABA</t>
        </is>
      </c>
      <c r="D87" s="7" t="inlineStr">
        <is>
          <t>GABA</t>
        </is>
      </c>
      <c r="E87" s="13" t="n">
        <v>3511</v>
      </c>
      <c r="F87" s="8" t="n">
        <v>4.688263650156651</v>
      </c>
      <c r="G87" s="14" t="n">
        <v>0.779549985759043</v>
      </c>
      <c r="H87" s="7" t="n">
        <v>3</v>
      </c>
    </row>
    <row r="88">
      <c r="A88" s="7" t="n">
        <v>84</v>
      </c>
      <c r="B88" s="7" t="inlineStr">
        <is>
          <t>273 PDTg-PCG Pax6 Gaba</t>
        </is>
      </c>
      <c r="C88" s="7" t="inlineStr">
        <is>
          <t>26 P GABA</t>
        </is>
      </c>
      <c r="D88" s="7" t="inlineStr">
        <is>
          <t>GABA</t>
        </is>
      </c>
      <c r="E88" s="13" t="n">
        <v>3086</v>
      </c>
      <c r="F88" s="8" t="n">
        <v>4.670260961179521</v>
      </c>
      <c r="G88" s="14" t="n">
        <v>0.7508101101749838</v>
      </c>
      <c r="H88" s="7" t="n">
        <v>3</v>
      </c>
    </row>
    <row r="89">
      <c r="A89" s="7" t="n">
        <v>85</v>
      </c>
      <c r="B89" s="7" t="inlineStr">
        <is>
          <t>125 DMH Hmx2 Glut</t>
        </is>
      </c>
      <c r="C89" s="7" t="inlineStr">
        <is>
          <t>14 HY Glut</t>
        </is>
      </c>
      <c r="D89" s="7" t="inlineStr">
        <is>
          <t>Glut</t>
        </is>
      </c>
      <c r="E89" s="13" t="n">
        <v>1287</v>
      </c>
      <c r="F89" s="8" t="n">
        <v>4.669597322921523</v>
      </c>
      <c r="G89" s="14" t="n">
        <v>0.7668997668997669</v>
      </c>
      <c r="H89" s="7" t="n">
        <v>6</v>
      </c>
    </row>
    <row r="90">
      <c r="A90" s="7" t="n">
        <v>86</v>
      </c>
      <c r="B90" s="7" t="inlineStr">
        <is>
          <t>093 RT-ZI Gnb3 Gaba</t>
        </is>
      </c>
      <c r="C90" s="7" t="inlineStr">
        <is>
          <t>12 HY GABA</t>
        </is>
      </c>
      <c r="D90" s="7" t="inlineStr">
        <is>
          <t>GABA</t>
        </is>
      </c>
      <c r="E90" s="13" t="n">
        <v>3943</v>
      </c>
      <c r="F90" s="8" t="n">
        <v>4.658206196931271</v>
      </c>
      <c r="G90" s="14" t="n">
        <v>0.7722546284554908</v>
      </c>
      <c r="H90" s="7" t="n">
        <v>6</v>
      </c>
    </row>
    <row r="91">
      <c r="A91" s="7" t="n">
        <v>87</v>
      </c>
      <c r="B91" s="7" t="inlineStr">
        <is>
          <t>167 PRC-PAG Tcf7l2 Irx2 Glut</t>
        </is>
      </c>
      <c r="C91" s="7" t="inlineStr">
        <is>
          <t>19 MB Glut</t>
        </is>
      </c>
      <c r="D91" s="7" t="inlineStr">
        <is>
          <t>Glut</t>
        </is>
      </c>
      <c r="E91" s="13" t="n">
        <v>2972</v>
      </c>
      <c r="F91" s="8" t="n">
        <v>4.64271063923284</v>
      </c>
      <c r="G91" s="14" t="n">
        <v>0.753028263795424</v>
      </c>
      <c r="H91" s="7" t="n">
        <v>7</v>
      </c>
    </row>
    <row r="92">
      <c r="A92" s="7" t="n">
        <v>88</v>
      </c>
      <c r="B92" s="7" t="inlineStr">
        <is>
          <t>138 PH Pitx2 Glut</t>
        </is>
      </c>
      <c r="C92" s="7" t="inlineStr">
        <is>
          <t>14 HY Glut</t>
        </is>
      </c>
      <c r="D92" s="7" t="inlineStr">
        <is>
          <t>Glut</t>
        </is>
      </c>
      <c r="E92" s="13" t="n">
        <v>986</v>
      </c>
      <c r="F92" s="8" t="n">
        <v>4.640082831237322</v>
      </c>
      <c r="G92" s="14" t="n">
        <v>0.781947261663286</v>
      </c>
      <c r="H92" s="7" t="n">
        <v>8</v>
      </c>
    </row>
    <row r="93">
      <c r="A93" s="7" t="n">
        <v>89</v>
      </c>
      <c r="B93" s="7" t="inlineStr">
        <is>
          <t>170 PAG-MRN Tfap2b Glut</t>
        </is>
      </c>
      <c r="C93" s="7" t="inlineStr">
        <is>
          <t>19 MB Glut</t>
        </is>
      </c>
      <c r="D93" s="7" t="inlineStr">
        <is>
          <t>Glut</t>
        </is>
      </c>
      <c r="E93" s="13" t="n">
        <v>3632</v>
      </c>
      <c r="F93" s="8" t="n">
        <v>4.639798919383259</v>
      </c>
      <c r="G93" s="14" t="n">
        <v>0.7670704845814978</v>
      </c>
      <c r="H93" s="7" t="n">
        <v>6</v>
      </c>
    </row>
    <row r="94">
      <c r="A94" s="7" t="n">
        <v>90</v>
      </c>
      <c r="B94" s="7" t="inlineStr">
        <is>
          <t>195 SNr-VTA Pax5 Npas1 Gaba</t>
        </is>
      </c>
      <c r="C94" s="7" t="inlineStr">
        <is>
          <t>20 MB GABA</t>
        </is>
      </c>
      <c r="D94" s="7" t="inlineStr">
        <is>
          <t>GABA</t>
        </is>
      </c>
      <c r="E94" s="13" t="n">
        <v>753</v>
      </c>
      <c r="F94" s="8" t="n">
        <v>4.628655934926959</v>
      </c>
      <c r="G94" s="14" t="n">
        <v>0.8406374501992032</v>
      </c>
      <c r="H94" s="7" t="n">
        <v>5</v>
      </c>
    </row>
    <row r="95">
      <c r="A95" s="7" t="n">
        <v>91</v>
      </c>
      <c r="B95" s="7" t="inlineStr">
        <is>
          <t>137 PH-an Pitx2 Glut</t>
        </is>
      </c>
      <c r="C95" s="7" t="inlineStr">
        <is>
          <t>14 HY Glut</t>
        </is>
      </c>
      <c r="D95" s="7" t="inlineStr">
        <is>
          <t>Glut</t>
        </is>
      </c>
      <c r="E95" s="13" t="n">
        <v>513</v>
      </c>
      <c r="F95" s="8" t="n">
        <v>4.618056229434698</v>
      </c>
      <c r="G95" s="14" t="n">
        <v>0.7524366471734892</v>
      </c>
      <c r="H95" s="7" t="n">
        <v>4</v>
      </c>
    </row>
    <row r="96">
      <c r="A96" s="7" t="n">
        <v>92</v>
      </c>
      <c r="B96" s="7" t="inlineStr">
        <is>
          <t>180 SCiw Pitx2 Glut</t>
        </is>
      </c>
      <c r="C96" s="7" t="inlineStr">
        <is>
          <t>19 MB Glut</t>
        </is>
      </c>
      <c r="D96" s="7" t="inlineStr">
        <is>
          <t>Glut</t>
        </is>
      </c>
      <c r="E96" s="13" t="n">
        <v>3419</v>
      </c>
      <c r="F96" s="8" t="n">
        <v>4.607646419830361</v>
      </c>
      <c r="G96" s="14" t="n">
        <v>0.7554840596665692</v>
      </c>
      <c r="H96" s="7" t="n">
        <v>5</v>
      </c>
    </row>
    <row r="97">
      <c r="A97" s="7" t="n">
        <v>93</v>
      </c>
      <c r="B97" s="7" t="inlineStr">
        <is>
          <t>228 PSV Pvalb Lhx2 Glut</t>
        </is>
      </c>
      <c r="C97" s="7" t="inlineStr">
        <is>
          <t>23 P Glut</t>
        </is>
      </c>
      <c r="D97" s="7" t="inlineStr">
        <is>
          <t>Glut</t>
        </is>
      </c>
      <c r="E97" s="13" t="n">
        <v>1052</v>
      </c>
      <c r="F97" s="8" t="n">
        <v>4.587401291920152</v>
      </c>
      <c r="G97" s="14" t="n">
        <v>0.7461977186311787</v>
      </c>
      <c r="H97" s="7" t="n">
        <v>4</v>
      </c>
    </row>
    <row r="98">
      <c r="A98" s="7" t="n">
        <v>94</v>
      </c>
      <c r="B98" s="7" t="inlineStr">
        <is>
          <t>105 TMd-DMH Foxd2 Gaba</t>
        </is>
      </c>
      <c r="C98" s="7" t="inlineStr">
        <is>
          <t>12 HY GABA</t>
        </is>
      </c>
      <c r="D98" s="7" t="inlineStr">
        <is>
          <t>GABA</t>
        </is>
      </c>
      <c r="E98" s="13" t="n">
        <v>1141</v>
      </c>
      <c r="F98" s="8" t="n">
        <v>4.583016510078878</v>
      </c>
      <c r="G98" s="14" t="n">
        <v>0.7414548641542507</v>
      </c>
      <c r="H98" s="7" t="n">
        <v>2</v>
      </c>
    </row>
    <row r="99">
      <c r="A99" s="7" t="n">
        <v>95</v>
      </c>
      <c r="B99" s="7" t="inlineStr">
        <is>
          <t>141 PH-SUM Foxa1 Glut</t>
        </is>
      </c>
      <c r="C99" s="7" t="inlineStr">
        <is>
          <t>14 HY Glut</t>
        </is>
      </c>
      <c r="D99" s="7" t="inlineStr">
        <is>
          <t>Glut</t>
        </is>
      </c>
      <c r="E99" s="13" t="n">
        <v>1464</v>
      </c>
      <c r="F99" s="8" t="n">
        <v>4.579507249385246</v>
      </c>
      <c r="G99" s="14" t="n">
        <v>0.7752732240437158</v>
      </c>
      <c r="H99" s="7" t="n">
        <v>5</v>
      </c>
    </row>
    <row r="100">
      <c r="A100" s="7" t="n">
        <v>96</v>
      </c>
      <c r="B100" s="7" t="inlineStr">
        <is>
          <t>150 CM-IAD-CL-PCN Sema5b Glut</t>
        </is>
      </c>
      <c r="C100" s="7" t="inlineStr">
        <is>
          <t>18 TH Glut</t>
        </is>
      </c>
      <c r="D100" s="7" t="inlineStr">
        <is>
          <t>Glut</t>
        </is>
      </c>
      <c r="E100" s="13" t="n">
        <v>5234</v>
      </c>
      <c r="F100" s="8" t="n">
        <v>4.578996540695452</v>
      </c>
      <c r="G100" s="14" t="n">
        <v>0.8011081390905617</v>
      </c>
      <c r="H100" s="7" t="n">
        <v>4</v>
      </c>
    </row>
    <row r="101">
      <c r="A101" s="7" t="n">
        <v>97</v>
      </c>
      <c r="B101" s="7" t="inlineStr">
        <is>
          <t>106 PVpo-VMPO-MPN Hmx2 Gaba</t>
        </is>
      </c>
      <c r="C101" s="7" t="inlineStr">
        <is>
          <t>12 HY GABA</t>
        </is>
      </c>
      <c r="D101" s="7" t="inlineStr">
        <is>
          <t>GABA</t>
        </is>
      </c>
      <c r="E101" s="13" t="n">
        <v>3770</v>
      </c>
      <c r="F101" s="8" t="n">
        <v>4.578652188328912</v>
      </c>
      <c r="G101" s="14" t="n">
        <v>0.7726790450928382</v>
      </c>
      <c r="H101" s="7" t="n">
        <v>4</v>
      </c>
    </row>
    <row r="102">
      <c r="A102" s="7" t="n">
        <v>98</v>
      </c>
      <c r="B102" s="7" t="inlineStr">
        <is>
          <t>149 PVT-PT Ntrk1 Glut</t>
        </is>
      </c>
      <c r="C102" s="7" t="inlineStr">
        <is>
          <t>18 TH Glut</t>
        </is>
      </c>
      <c r="D102" s="7" t="inlineStr">
        <is>
          <t>Glut</t>
        </is>
      </c>
      <c r="E102" s="13" t="n">
        <v>6065</v>
      </c>
      <c r="F102" s="8" t="n">
        <v>4.568469504369332</v>
      </c>
      <c r="G102" s="14" t="n">
        <v>0.7873042044517725</v>
      </c>
      <c r="H102" s="7" t="n">
        <v>4</v>
      </c>
    </row>
    <row r="103">
      <c r="A103" s="7" t="n">
        <v>99</v>
      </c>
      <c r="B103" s="7" t="inlineStr">
        <is>
          <t>159 IF-RL-CLI-PAG Foxa1 Glut</t>
        </is>
      </c>
      <c r="C103" s="7" t="inlineStr">
        <is>
          <t>19 MB Glut</t>
        </is>
      </c>
      <c r="D103" s="7" t="inlineStr">
        <is>
          <t>Glut</t>
        </is>
      </c>
      <c r="E103" s="13" t="n">
        <v>1560</v>
      </c>
      <c r="F103" s="8" t="n">
        <v>4.564542584615384</v>
      </c>
      <c r="G103" s="14" t="n">
        <v>0.7352564102564103</v>
      </c>
      <c r="H103" s="7" t="n">
        <v>3</v>
      </c>
    </row>
    <row r="104">
      <c r="A104" s="7" t="n">
        <v>100</v>
      </c>
      <c r="B104" s="7" t="inlineStr">
        <is>
          <t>011 L2 IT ENT-po Glut</t>
        </is>
      </c>
      <c r="C104" s="7" t="inlineStr">
        <is>
          <t>01 IT-ET Glut</t>
        </is>
      </c>
      <c r="D104" s="7" t="inlineStr">
        <is>
          <t>Glut</t>
        </is>
      </c>
      <c r="E104" s="13" t="n">
        <v>848</v>
      </c>
      <c r="F104" s="8" t="n">
        <v>4.558845718160377</v>
      </c>
      <c r="G104" s="14" t="n">
        <v>0.8183962264150944</v>
      </c>
      <c r="H104" s="7" t="n">
        <v>2</v>
      </c>
    </row>
    <row r="105">
      <c r="A105" s="7" t="n">
        <v>101</v>
      </c>
      <c r="B105" s="7" t="inlineStr">
        <is>
          <t>089 PVR Six3 Sox3 Gaba</t>
        </is>
      </c>
      <c r="C105" s="7" t="inlineStr">
        <is>
          <t>11 CNU-HYa GABA</t>
        </is>
      </c>
      <c r="D105" s="7" t="inlineStr">
        <is>
          <t>GABA</t>
        </is>
      </c>
      <c r="E105" s="13" t="n">
        <v>2720</v>
      </c>
      <c r="F105" s="8" t="n">
        <v>4.547657265514705</v>
      </c>
      <c r="G105" s="14" t="n">
        <v>0.7242647058823529</v>
      </c>
      <c r="H105" s="7" t="n">
        <v>3</v>
      </c>
    </row>
    <row r="106">
      <c r="A106" s="7" t="n">
        <v>102</v>
      </c>
      <c r="B106" s="7" t="inlineStr">
        <is>
          <t>177 SCig-an-PPT Foxb1 Glut</t>
        </is>
      </c>
      <c r="C106" s="7" t="inlineStr">
        <is>
          <t>19 MB Glut</t>
        </is>
      </c>
      <c r="D106" s="7" t="inlineStr">
        <is>
          <t>Glut</t>
        </is>
      </c>
      <c r="E106" s="13" t="n">
        <v>2095</v>
      </c>
      <c r="F106" s="8" t="n">
        <v>4.546263511789976</v>
      </c>
      <c r="G106" s="14" t="n">
        <v>0.7236276849642005</v>
      </c>
      <c r="H106" s="7" t="n">
        <v>2</v>
      </c>
    </row>
    <row r="107">
      <c r="A107" s="7" t="n">
        <v>103</v>
      </c>
      <c r="B107" s="7" t="inlineStr">
        <is>
          <t>205 SC-PAG Lef1 Emx2 Gaba</t>
        </is>
      </c>
      <c r="C107" s="7" t="inlineStr">
        <is>
          <t>20 MB GABA</t>
        </is>
      </c>
      <c r="D107" s="7" t="inlineStr">
        <is>
          <t>GABA</t>
        </is>
      </c>
      <c r="E107" s="13" t="n">
        <v>6341</v>
      </c>
      <c r="F107" s="8" t="n">
        <v>4.532238846175682</v>
      </c>
      <c r="G107" s="14" t="n">
        <v>0.7211796246648794</v>
      </c>
      <c r="H107" s="7" t="n">
        <v>4</v>
      </c>
    </row>
    <row r="108">
      <c r="A108" s="7" t="n">
        <v>104</v>
      </c>
      <c r="B108" s="7" t="inlineStr">
        <is>
          <t>209 SCs Pax7 Nfia Gaba</t>
        </is>
      </c>
      <c r="C108" s="7" t="inlineStr">
        <is>
          <t>20 MB GABA</t>
        </is>
      </c>
      <c r="D108" s="7" t="inlineStr">
        <is>
          <t>GABA</t>
        </is>
      </c>
      <c r="E108" s="13" t="n">
        <v>2337</v>
      </c>
      <c r="F108" s="8" t="n">
        <v>4.523936038254171</v>
      </c>
      <c r="G108" s="14" t="n">
        <v>0.6863500213949508</v>
      </c>
      <c r="H108" s="7" t="n">
        <v>4</v>
      </c>
    </row>
    <row r="109">
      <c r="A109" s="7" t="n">
        <v>105</v>
      </c>
      <c r="B109" s="7" t="inlineStr">
        <is>
          <t>173 PAG Pou4f2 Glut</t>
        </is>
      </c>
      <c r="C109" s="7" t="inlineStr">
        <is>
          <t>19 MB Glut</t>
        </is>
      </c>
      <c r="D109" s="7" t="inlineStr">
        <is>
          <t>Glut</t>
        </is>
      </c>
      <c r="E109" s="13" t="n">
        <v>6280</v>
      </c>
      <c r="F109" s="8" t="n">
        <v>4.517861036464968</v>
      </c>
      <c r="G109" s="14" t="n">
        <v>0.7378980891719745</v>
      </c>
      <c r="H109" s="7" t="n">
        <v>5</v>
      </c>
    </row>
    <row r="110">
      <c r="A110" s="7" t="n">
        <v>106</v>
      </c>
      <c r="B110" s="7" t="inlineStr">
        <is>
          <t>221 LDT-PCG Vsx2 Lhx4 Glut</t>
        </is>
      </c>
      <c r="C110" s="7" t="inlineStr">
        <is>
          <t>23 P Glut</t>
        </is>
      </c>
      <c r="D110" s="7" t="inlineStr">
        <is>
          <t>Glut</t>
        </is>
      </c>
      <c r="E110" s="13" t="n">
        <v>5207</v>
      </c>
      <c r="F110" s="8" t="n">
        <v>4.514764042788554</v>
      </c>
      <c r="G110" s="14" t="n">
        <v>0.7211446130209334</v>
      </c>
      <c r="H110" s="7" t="n">
        <v>4</v>
      </c>
    </row>
    <row r="111">
      <c r="A111" s="7" t="n">
        <v>107</v>
      </c>
      <c r="B111" s="7" t="inlineStr">
        <is>
          <t>174 PAG Pou4f2 Mesi2 Glut</t>
        </is>
      </c>
      <c r="C111" s="7" t="inlineStr">
        <is>
          <t>19 MB Glut</t>
        </is>
      </c>
      <c r="D111" s="7" t="inlineStr">
        <is>
          <t>Glut</t>
        </is>
      </c>
      <c r="E111" s="13" t="n">
        <v>4963</v>
      </c>
      <c r="F111" s="8" t="n">
        <v>4.512619528974411</v>
      </c>
      <c r="G111" s="14" t="n">
        <v>0.7451138424340117</v>
      </c>
      <c r="H111" s="7" t="n">
        <v>2</v>
      </c>
    </row>
    <row r="112">
      <c r="A112" s="7" t="n">
        <v>108</v>
      </c>
      <c r="B112" s="7" t="inlineStr">
        <is>
          <t>029 L6b CTX Glut</t>
        </is>
      </c>
      <c r="C112" s="7" t="inlineStr">
        <is>
          <t>02 NP-CT-L6b Glut</t>
        </is>
      </c>
      <c r="D112" s="7" t="inlineStr">
        <is>
          <t>Glut</t>
        </is>
      </c>
      <c r="E112" s="13" t="n">
        <v>2433</v>
      </c>
      <c r="F112" s="8" t="n">
        <v>4.511250296876284</v>
      </c>
      <c r="G112" s="14" t="n">
        <v>0.7307850390464448</v>
      </c>
      <c r="H112" s="7" t="n">
        <v>7</v>
      </c>
    </row>
    <row r="113">
      <c r="A113" s="7" t="n">
        <v>109</v>
      </c>
      <c r="B113" s="7" t="inlineStr">
        <is>
          <t>169 PAG-SC Pou4f1 Zic1 Glut</t>
        </is>
      </c>
      <c r="C113" s="7" t="inlineStr">
        <is>
          <t>19 MB Glut</t>
        </is>
      </c>
      <c r="D113" s="7" t="inlineStr">
        <is>
          <t>Glut</t>
        </is>
      </c>
      <c r="E113" s="13" t="n">
        <v>4159</v>
      </c>
      <c r="F113" s="8" t="n">
        <v>4.510905590718922</v>
      </c>
      <c r="G113" s="14" t="n">
        <v>0.740322192834816</v>
      </c>
      <c r="H113" s="7" t="n">
        <v>4</v>
      </c>
    </row>
    <row r="114">
      <c r="A114" s="7" t="n">
        <v>110</v>
      </c>
      <c r="B114" s="7" t="inlineStr">
        <is>
          <t>165 PAG-MRN Pou3f1 Glut</t>
        </is>
      </c>
      <c r="C114" s="7" t="inlineStr">
        <is>
          <t>19 MB Glut</t>
        </is>
      </c>
      <c r="D114" s="7" t="inlineStr">
        <is>
          <t>Glut</t>
        </is>
      </c>
      <c r="E114" s="13" t="n">
        <v>3131</v>
      </c>
      <c r="F114" s="8" t="n">
        <v>4.504173956978601</v>
      </c>
      <c r="G114" s="14" t="n">
        <v>0.7563078888534015</v>
      </c>
      <c r="H114" s="7" t="n">
        <v>5</v>
      </c>
    </row>
    <row r="115">
      <c r="A115" s="7" t="n">
        <v>111</v>
      </c>
      <c r="B115" s="7" t="inlineStr">
        <is>
          <t>213 SCsg Gabrr2 Gaba</t>
        </is>
      </c>
      <c r="C115" s="7" t="inlineStr">
        <is>
          <t>20 MB GABA</t>
        </is>
      </c>
      <c r="D115" s="7" t="inlineStr">
        <is>
          <t>GABA</t>
        </is>
      </c>
      <c r="E115" s="13" t="n">
        <v>8980</v>
      </c>
      <c r="F115" s="8" t="n">
        <v>4.500414143997772</v>
      </c>
      <c r="G115" s="14" t="n">
        <v>0.7079064587973274</v>
      </c>
      <c r="H115" s="7" t="n">
        <v>8</v>
      </c>
    </row>
    <row r="116">
      <c r="A116" s="7" t="n">
        <v>112</v>
      </c>
      <c r="B116" s="7" t="inlineStr">
        <is>
          <t>176 SCig Foxb1 Glut</t>
        </is>
      </c>
      <c r="C116" s="7" t="inlineStr">
        <is>
          <t>19 MB Glut</t>
        </is>
      </c>
      <c r="D116" s="7" t="inlineStr">
        <is>
          <t>Glut</t>
        </is>
      </c>
      <c r="E116" s="13" t="n">
        <v>4667</v>
      </c>
      <c r="F116" s="8" t="n">
        <v>4.49806405228198</v>
      </c>
      <c r="G116" s="14" t="n">
        <v>0.7171630597814442</v>
      </c>
      <c r="H116" s="7" t="n">
        <v>3</v>
      </c>
    </row>
    <row r="117">
      <c r="A117" s="7" t="n">
        <v>113</v>
      </c>
      <c r="B117" s="7" t="inlineStr">
        <is>
          <t>222 PB Evx2 Glut</t>
        </is>
      </c>
      <c r="C117" s="7" t="inlineStr">
        <is>
          <t>23 P Glut</t>
        </is>
      </c>
      <c r="D117" s="7" t="inlineStr">
        <is>
          <t>Glut</t>
        </is>
      </c>
      <c r="E117" s="13" t="n">
        <v>4186</v>
      </c>
      <c r="F117" s="8" t="n">
        <v>4.495154857142857</v>
      </c>
      <c r="G117" s="14" t="n">
        <v>0.7663640707118968</v>
      </c>
      <c r="H117" s="7" t="n">
        <v>6</v>
      </c>
    </row>
    <row r="118">
      <c r="A118" s="7" t="n">
        <v>114</v>
      </c>
      <c r="B118" s="7" t="inlineStr">
        <is>
          <t>109 LGv-ZI Otx2 Gaba</t>
        </is>
      </c>
      <c r="C118" s="7" t="inlineStr">
        <is>
          <t>12 HY GABA</t>
        </is>
      </c>
      <c r="D118" s="7" t="inlineStr">
        <is>
          <t>GABA</t>
        </is>
      </c>
      <c r="E118" s="13" t="n">
        <v>2906</v>
      </c>
      <c r="F118" s="8" t="n">
        <v>4.463920175017206</v>
      </c>
      <c r="G118" s="14" t="n">
        <v>0.7219545767377838</v>
      </c>
      <c r="H118" s="7" t="n">
        <v>7</v>
      </c>
    </row>
    <row r="119">
      <c r="A119" s="7" t="n">
        <v>115</v>
      </c>
      <c r="B119" s="7" t="inlineStr">
        <is>
          <t>220 PB Pax5 Glut</t>
        </is>
      </c>
      <c r="C119" s="7" t="inlineStr">
        <is>
          <t>23 P Glut</t>
        </is>
      </c>
      <c r="D119" s="7" t="inlineStr">
        <is>
          <t>Glut</t>
        </is>
      </c>
      <c r="E119" s="13" t="n">
        <v>592</v>
      </c>
      <c r="F119" s="8" t="n">
        <v>4.461867672466216</v>
      </c>
      <c r="G119" s="14" t="n">
        <v>0.7331081081081081</v>
      </c>
      <c r="H119" s="7" t="n">
        <v>4</v>
      </c>
    </row>
    <row r="120">
      <c r="A120" s="7" t="n">
        <v>116</v>
      </c>
      <c r="B120" s="7" t="inlineStr">
        <is>
          <t>032 L5 NP CTX Glut</t>
        </is>
      </c>
      <c r="C120" s="7" t="inlineStr">
        <is>
          <t>02 NP-CT-L6b Glut</t>
        </is>
      </c>
      <c r="D120" s="7" t="inlineStr">
        <is>
          <t>Glut</t>
        </is>
      </c>
      <c r="E120" s="13" t="n">
        <v>11653</v>
      </c>
      <c r="F120" s="8" t="n">
        <v>4.449599599304901</v>
      </c>
      <c r="G120" s="14" t="n">
        <v>0.6757916416373466</v>
      </c>
      <c r="H120" s="7" t="n">
        <v>6</v>
      </c>
    </row>
    <row r="121">
      <c r="A121" s="7" t="n">
        <v>117</v>
      </c>
      <c r="B121" s="7" t="inlineStr">
        <is>
          <t>086 MPO-ADP Lhx8 Gaba</t>
        </is>
      </c>
      <c r="C121" s="7" t="inlineStr">
        <is>
          <t>11 CNU-HYa GABA</t>
        </is>
      </c>
      <c r="D121" s="7" t="inlineStr">
        <is>
          <t>GABA</t>
        </is>
      </c>
      <c r="E121" s="13" t="n">
        <v>2008</v>
      </c>
      <c r="F121" s="8" t="n">
        <v>4.438331809063746</v>
      </c>
      <c r="G121" s="14" t="n">
        <v>0.7280876494023905</v>
      </c>
      <c r="H121" s="7" t="n">
        <v>5</v>
      </c>
    </row>
    <row r="122">
      <c r="A122" s="7" t="n">
        <v>118</v>
      </c>
      <c r="B122" s="7" t="inlineStr">
        <is>
          <t>225 PRNc-NI-SG-RPO Vsx2 Nr4a2 Glut</t>
        </is>
      </c>
      <c r="C122" s="7" t="inlineStr">
        <is>
          <t>23 P Glut</t>
        </is>
      </c>
      <c r="D122" s="7" t="inlineStr">
        <is>
          <t>Glut</t>
        </is>
      </c>
      <c r="E122" s="13" t="n">
        <v>1178</v>
      </c>
      <c r="F122" s="8" t="n">
        <v>4.435062354414262</v>
      </c>
      <c r="G122" s="14" t="n">
        <v>0.7062818336162988</v>
      </c>
      <c r="H122" s="7" t="n">
        <v>3</v>
      </c>
    </row>
    <row r="123">
      <c r="A123" s="7" t="n">
        <v>119</v>
      </c>
      <c r="B123" s="7" t="inlineStr">
        <is>
          <t>217 PB Lmx1a Glut</t>
        </is>
      </c>
      <c r="C123" s="7" t="inlineStr">
        <is>
          <t>23 P Glut</t>
        </is>
      </c>
      <c r="D123" s="7" t="inlineStr">
        <is>
          <t>Glut</t>
        </is>
      </c>
      <c r="E123" s="13" t="n">
        <v>2422</v>
      </c>
      <c r="F123" s="8" t="n">
        <v>4.4349319940545</v>
      </c>
      <c r="G123" s="14" t="n">
        <v>0.763418662262593</v>
      </c>
      <c r="H123" s="7" t="n">
        <v>5</v>
      </c>
    </row>
    <row r="124">
      <c r="A124" s="7" t="n">
        <v>120</v>
      </c>
      <c r="B124" s="7" t="inlineStr">
        <is>
          <t>206 SCm-PAG Cdh23 Gaba</t>
        </is>
      </c>
      <c r="C124" s="7" t="inlineStr">
        <is>
          <t>20 MB GABA</t>
        </is>
      </c>
      <c r="D124" s="7" t="inlineStr">
        <is>
          <t>GABA</t>
        </is>
      </c>
      <c r="E124" s="13" t="n">
        <v>4424</v>
      </c>
      <c r="F124" s="8" t="n">
        <v>4.431648755221519</v>
      </c>
      <c r="G124" s="14" t="n">
        <v>0.7081826401446655</v>
      </c>
      <c r="H124" s="7" t="n">
        <v>6</v>
      </c>
    </row>
    <row r="125">
      <c r="A125" s="7" t="n">
        <v>121</v>
      </c>
      <c r="B125" s="7" t="inlineStr">
        <is>
          <t>332 SMC NN</t>
        </is>
      </c>
      <c r="C125" s="7" t="inlineStr">
        <is>
          <t>33 Vascular</t>
        </is>
      </c>
      <c r="D125" s="7" t="n"/>
      <c r="E125" s="13" t="n">
        <v>13705</v>
      </c>
      <c r="F125" s="8" t="n">
        <v>4.424467163531558</v>
      </c>
      <c r="G125" s="14" t="n">
        <v>0.569500182415177</v>
      </c>
      <c r="H125" s="7" t="n">
        <v>13</v>
      </c>
    </row>
    <row r="126">
      <c r="A126" s="7" t="n">
        <v>122</v>
      </c>
      <c r="B126" s="7" t="inlineStr">
        <is>
          <t>115 MS-SF Bsx Glut</t>
        </is>
      </c>
      <c r="C126" s="7" t="inlineStr">
        <is>
          <t>13 CNU-HYa Glut</t>
        </is>
      </c>
      <c r="D126" s="7" t="inlineStr">
        <is>
          <t>Glut</t>
        </is>
      </c>
      <c r="E126" s="13" t="n">
        <v>1123</v>
      </c>
      <c r="F126" s="8" t="n">
        <v>4.418085083793411</v>
      </c>
      <c r="G126" s="14" t="n">
        <v>0.7266251113089938</v>
      </c>
      <c r="H126" s="7" t="n">
        <v>5</v>
      </c>
    </row>
    <row r="127">
      <c r="A127" s="7" t="n">
        <v>123</v>
      </c>
      <c r="B127" s="7" t="inlineStr">
        <is>
          <t>182 CUN-PPN Evx2 Meis2 Glut</t>
        </is>
      </c>
      <c r="C127" s="7" t="inlineStr">
        <is>
          <t>19 MB Glut</t>
        </is>
      </c>
      <c r="D127" s="7" t="inlineStr">
        <is>
          <t>Glut</t>
        </is>
      </c>
      <c r="E127" s="13" t="n">
        <v>3513</v>
      </c>
      <c r="F127" s="8" t="n">
        <v>4.4160871362653</v>
      </c>
      <c r="G127" s="14" t="n">
        <v>0.7432393965271847</v>
      </c>
      <c r="H127" s="7" t="n">
        <v>4</v>
      </c>
    </row>
    <row r="128">
      <c r="A128" s="7" t="n">
        <v>124</v>
      </c>
      <c r="B128" s="7" t="inlineStr">
        <is>
          <t>268 CS-PRNr-DR En1 Sox2 Gaba</t>
        </is>
      </c>
      <c r="C128" s="7" t="inlineStr">
        <is>
          <t>26 P GABA</t>
        </is>
      </c>
      <c r="D128" s="7" t="inlineStr">
        <is>
          <t>GABA</t>
        </is>
      </c>
      <c r="E128" s="13" t="n">
        <v>1237</v>
      </c>
      <c r="F128" s="8" t="n">
        <v>4.412365601535974</v>
      </c>
      <c r="G128" s="14" t="n">
        <v>0.7388843977364592</v>
      </c>
      <c r="H128" s="7" t="n">
        <v>3</v>
      </c>
    </row>
    <row r="129">
      <c r="A129" s="7" t="n">
        <v>125</v>
      </c>
      <c r="B129" s="7" t="inlineStr">
        <is>
          <t>118 ADP-MPO Trp73 Glut</t>
        </is>
      </c>
      <c r="C129" s="7" t="inlineStr">
        <is>
          <t>13 CNU-HYa Glut</t>
        </is>
      </c>
      <c r="D129" s="7" t="inlineStr">
        <is>
          <t>Glut</t>
        </is>
      </c>
      <c r="E129" s="13" t="n">
        <v>1032</v>
      </c>
      <c r="F129" s="8" t="n">
        <v>4.402140918023255</v>
      </c>
      <c r="G129" s="14" t="n">
        <v>0.7248062015503876</v>
      </c>
      <c r="H129" s="7" t="n">
        <v>6</v>
      </c>
    </row>
    <row r="130">
      <c r="A130" s="7" t="n">
        <v>126</v>
      </c>
      <c r="B130" s="7" t="inlineStr">
        <is>
          <t>155 PRC-PAG Pax6 Glut</t>
        </is>
      </c>
      <c r="C130" s="7" t="inlineStr">
        <is>
          <t>19 MB Glut</t>
        </is>
      </c>
      <c r="D130" s="7" t="inlineStr">
        <is>
          <t>Glut</t>
        </is>
      </c>
      <c r="E130" s="13" t="n">
        <v>2196</v>
      </c>
      <c r="F130" s="8" t="n">
        <v>4.401176383424408</v>
      </c>
      <c r="G130" s="14" t="n">
        <v>0.7167577413479053</v>
      </c>
      <c r="H130" s="7" t="n">
        <v>6</v>
      </c>
    </row>
    <row r="131">
      <c r="A131" s="7" t="n">
        <v>127</v>
      </c>
      <c r="B131" s="7" t="inlineStr">
        <is>
          <t>196 PAG-PPN Pax5 Sox21 Gaba</t>
        </is>
      </c>
      <c r="C131" s="7" t="inlineStr">
        <is>
          <t>20 MB GABA</t>
        </is>
      </c>
      <c r="D131" s="7" t="inlineStr">
        <is>
          <t>GABA</t>
        </is>
      </c>
      <c r="E131" s="13" t="n">
        <v>2028</v>
      </c>
      <c r="F131" s="8" t="n">
        <v>4.396591067061144</v>
      </c>
      <c r="G131" s="14" t="n">
        <v>0.7327416173570019</v>
      </c>
      <c r="H131" s="7" t="n">
        <v>2</v>
      </c>
    </row>
    <row r="132">
      <c r="A132" s="7" t="n">
        <v>128</v>
      </c>
      <c r="B132" s="7" t="inlineStr">
        <is>
          <t>179 SCdg-PAG Tfap2b Glut</t>
        </is>
      </c>
      <c r="C132" s="7" t="inlineStr">
        <is>
          <t>19 MB Glut</t>
        </is>
      </c>
      <c r="D132" s="7" t="inlineStr">
        <is>
          <t>Glut</t>
        </is>
      </c>
      <c r="E132" s="13" t="n">
        <v>1442</v>
      </c>
      <c r="F132" s="8" t="n">
        <v>4.393987012690707</v>
      </c>
      <c r="G132" s="14" t="n">
        <v>0.7212205270457698</v>
      </c>
      <c r="H132" s="7" t="n">
        <v>2</v>
      </c>
    </row>
    <row r="133">
      <c r="A133" s="7" t="n">
        <v>129</v>
      </c>
      <c r="B133" s="7" t="inlineStr">
        <is>
          <t>194 MRN-VTN-PPN Pax5 Cdh23 Gaba</t>
        </is>
      </c>
      <c r="C133" s="7" t="inlineStr">
        <is>
          <t>20 MB GABA</t>
        </is>
      </c>
      <c r="D133" s="7" t="inlineStr">
        <is>
          <t>GABA</t>
        </is>
      </c>
      <c r="E133" s="13" t="n">
        <v>1230</v>
      </c>
      <c r="F133" s="8" t="n">
        <v>4.381312269918698</v>
      </c>
      <c r="G133" s="14" t="n">
        <v>0.748780487804878</v>
      </c>
      <c r="H133" s="7" t="n">
        <v>3</v>
      </c>
    </row>
    <row r="134">
      <c r="A134" s="7" t="n">
        <v>130</v>
      </c>
      <c r="B134" s="7" t="inlineStr">
        <is>
          <t>172 PAG Pou4f1 Ebf2 Glut</t>
        </is>
      </c>
      <c r="C134" s="7" t="inlineStr">
        <is>
          <t>19 MB Glut</t>
        </is>
      </c>
      <c r="D134" s="7" t="inlineStr">
        <is>
          <t>Glut</t>
        </is>
      </c>
      <c r="E134" s="13" t="n">
        <v>7142</v>
      </c>
      <c r="F134" s="8" t="n">
        <v>4.372930629025484</v>
      </c>
      <c r="G134" s="14" t="n">
        <v>0.7300476057126856</v>
      </c>
      <c r="H134" s="7" t="n">
        <v>5</v>
      </c>
    </row>
    <row r="135">
      <c r="A135" s="7" t="n">
        <v>131</v>
      </c>
      <c r="B135" s="7" t="inlineStr">
        <is>
          <t>202 PRT Tcf7l2 Gaba</t>
        </is>
      </c>
      <c r="C135" s="7" t="inlineStr">
        <is>
          <t>20 MB GABA</t>
        </is>
      </c>
      <c r="D135" s="7" t="inlineStr">
        <is>
          <t>GABA</t>
        </is>
      </c>
      <c r="E135" s="13" t="n">
        <v>4472</v>
      </c>
      <c r="F135" s="8" t="n">
        <v>4.370846053555456</v>
      </c>
      <c r="G135" s="14" t="n">
        <v>0.7151162790697675</v>
      </c>
      <c r="H135" s="7" t="n">
        <v>6</v>
      </c>
    </row>
    <row r="136">
      <c r="A136" s="7" t="n">
        <v>132</v>
      </c>
      <c r="B136" s="7" t="inlineStr">
        <is>
          <t>185 SCig Tfap2b Chrnb3 Glut</t>
        </is>
      </c>
      <c r="C136" s="7" t="inlineStr">
        <is>
          <t>19 MB Glut</t>
        </is>
      </c>
      <c r="D136" s="7" t="inlineStr">
        <is>
          <t>Glut</t>
        </is>
      </c>
      <c r="E136" s="13" t="n">
        <v>855</v>
      </c>
      <c r="F136" s="8" t="n">
        <v>4.35568606502924</v>
      </c>
      <c r="G136" s="14" t="n">
        <v>0.6842105263157895</v>
      </c>
      <c r="H136" s="7" t="n">
        <v>2</v>
      </c>
    </row>
    <row r="137">
      <c r="A137" s="7" t="n">
        <v>133</v>
      </c>
      <c r="B137" s="7" t="inlineStr">
        <is>
          <t>308 DCO Il22 Gly-Gaba</t>
        </is>
      </c>
      <c r="C137" s="7" t="inlineStr">
        <is>
          <t>28 CB GABA</t>
        </is>
      </c>
      <c r="D137" s="7" t="inlineStr">
        <is>
          <t>GABA-Glyc</t>
        </is>
      </c>
      <c r="E137" s="13" t="n">
        <v>1367</v>
      </c>
      <c r="F137" s="8" t="n">
        <v>4.352846499341624</v>
      </c>
      <c r="G137" s="14" t="n">
        <v>0.681784930504755</v>
      </c>
      <c r="H137" s="7" t="n">
        <v>4</v>
      </c>
    </row>
    <row r="138">
      <c r="A138" s="7" t="n">
        <v>134</v>
      </c>
      <c r="B138" s="7" t="inlineStr">
        <is>
          <t>020 L2/3 IT RSP Glut</t>
        </is>
      </c>
      <c r="C138" s="7" t="inlineStr">
        <is>
          <t>01 IT-ET Glut</t>
        </is>
      </c>
      <c r="D138" s="7" t="inlineStr">
        <is>
          <t>Glut</t>
        </is>
      </c>
      <c r="E138" s="13" t="n">
        <v>8442</v>
      </c>
      <c r="F138" s="8" t="n">
        <v>4.350888400781804</v>
      </c>
      <c r="G138" s="14" t="n">
        <v>0.7004264392324094</v>
      </c>
      <c r="H138" s="7" t="n">
        <v>3</v>
      </c>
    </row>
    <row r="139">
      <c r="A139" s="7" t="n">
        <v>135</v>
      </c>
      <c r="B139" s="7" t="inlineStr">
        <is>
          <t>133 PVH-SO-PVa Otp Glut</t>
        </is>
      </c>
      <c r="C139" s="7" t="inlineStr">
        <is>
          <t>14 HY Glut</t>
        </is>
      </c>
      <c r="D139" s="7" t="inlineStr">
        <is>
          <t>Glut</t>
        </is>
      </c>
      <c r="E139" s="13" t="n">
        <v>2751</v>
      </c>
      <c r="F139" s="8" t="n">
        <v>4.349907293929479</v>
      </c>
      <c r="G139" s="14" t="n">
        <v>0.7273718647764449</v>
      </c>
      <c r="H139" s="7" t="n">
        <v>7</v>
      </c>
    </row>
    <row r="140">
      <c r="A140" s="7" t="n">
        <v>136</v>
      </c>
      <c r="B140" s="7" t="inlineStr">
        <is>
          <t>210 PRT Mecom Gaba</t>
        </is>
      </c>
      <c r="C140" s="7" t="inlineStr">
        <is>
          <t>20 MB GABA</t>
        </is>
      </c>
      <c r="D140" s="7" t="inlineStr">
        <is>
          <t>GABA</t>
        </is>
      </c>
      <c r="E140" s="13" t="n">
        <v>2098</v>
      </c>
      <c r="F140" s="8" t="n">
        <v>4.330204934366064</v>
      </c>
      <c r="G140" s="14" t="n">
        <v>0.6901811248808389</v>
      </c>
      <c r="H140" s="7" t="n">
        <v>2</v>
      </c>
    </row>
    <row r="141">
      <c r="A141" s="7" t="n">
        <v>137</v>
      </c>
      <c r="B141" s="7" t="inlineStr">
        <is>
          <t>203 LGv-SPFp-SPFm Nkx2-2 Tcf7l2 Gaba</t>
        </is>
      </c>
      <c r="C141" s="7" t="inlineStr">
        <is>
          <t>20 MB GABA</t>
        </is>
      </c>
      <c r="D141" s="7" t="inlineStr">
        <is>
          <t>GABA</t>
        </is>
      </c>
      <c r="E141" s="13" t="n">
        <v>3482</v>
      </c>
      <c r="F141" s="8" t="n">
        <v>4.32311627007467</v>
      </c>
      <c r="G141" s="14" t="n">
        <v>0.7107983917288915</v>
      </c>
      <c r="H141" s="7" t="n">
        <v>7</v>
      </c>
    </row>
    <row r="142">
      <c r="A142" s="7" t="n">
        <v>138</v>
      </c>
      <c r="B142" s="7" t="inlineStr">
        <is>
          <t>085 SI-MPO-LPO Lhx8 Gaba</t>
        </is>
      </c>
      <c r="C142" s="7" t="inlineStr">
        <is>
          <t>11 CNU-HYa GABA</t>
        </is>
      </c>
      <c r="D142" s="7" t="inlineStr">
        <is>
          <t>GABA</t>
        </is>
      </c>
      <c r="E142" s="13" t="n">
        <v>2997</v>
      </c>
      <c r="F142" s="8" t="n">
        <v>4.30302725005005</v>
      </c>
      <c r="G142" s="14" t="n">
        <v>0.7380714047380714</v>
      </c>
      <c r="H142" s="7" t="n">
        <v>4</v>
      </c>
    </row>
    <row r="143">
      <c r="A143" s="7" t="n">
        <v>139</v>
      </c>
      <c r="B143" s="7" t="inlineStr">
        <is>
          <t>131 LHA-AHN-PVH Otp Trh Glut</t>
        </is>
      </c>
      <c r="C143" s="7" t="inlineStr">
        <is>
          <t>14 HY Glut</t>
        </is>
      </c>
      <c r="D143" s="7" t="inlineStr">
        <is>
          <t>Glut</t>
        </is>
      </c>
      <c r="E143" s="13" t="n">
        <v>1026</v>
      </c>
      <c r="F143" s="8" t="n">
        <v>4.299579282846004</v>
      </c>
      <c r="G143" s="14" t="n">
        <v>0.7339181286549707</v>
      </c>
      <c r="H143" s="7" t="n">
        <v>5</v>
      </c>
    </row>
    <row r="144">
      <c r="A144" s="7" t="n">
        <v>140</v>
      </c>
      <c r="B144" s="7" t="inlineStr">
        <is>
          <t>231 IPN-LDT Vsx2 Nkx6-1 Glut</t>
        </is>
      </c>
      <c r="C144" s="7" t="inlineStr">
        <is>
          <t>23 P Glut</t>
        </is>
      </c>
      <c r="D144" s="7" t="inlineStr">
        <is>
          <t>Glut</t>
        </is>
      </c>
      <c r="E144" s="13" t="n">
        <v>1008</v>
      </c>
      <c r="F144" s="8" t="n">
        <v>4.296607547619048</v>
      </c>
      <c r="G144" s="14" t="n">
        <v>0.7103174603174603</v>
      </c>
      <c r="H144" s="7" t="n">
        <v>2</v>
      </c>
    </row>
    <row r="145">
      <c r="A145" s="7" t="n">
        <v>141</v>
      </c>
      <c r="B145" s="7" t="inlineStr">
        <is>
          <t>023 SUB-ProS Glut</t>
        </is>
      </c>
      <c r="C145" s="7" t="inlineStr">
        <is>
          <t>01 IT-ET Glut</t>
        </is>
      </c>
      <c r="D145" s="7" t="inlineStr">
        <is>
          <t>Glut</t>
        </is>
      </c>
      <c r="E145" s="13" t="n">
        <v>2279</v>
      </c>
      <c r="F145" s="8" t="n">
        <v>4.290566402544975</v>
      </c>
      <c r="G145" s="14" t="n">
        <v>0.7959631417288284</v>
      </c>
      <c r="H145" s="7" t="n">
        <v>3</v>
      </c>
    </row>
    <row r="146">
      <c r="A146" s="7" t="n">
        <v>142</v>
      </c>
      <c r="B146" s="7" t="inlineStr">
        <is>
          <t>211 SC Tnnt1 Gli3 Gaba</t>
        </is>
      </c>
      <c r="C146" s="7" t="inlineStr">
        <is>
          <t>20 MB GABA</t>
        </is>
      </c>
      <c r="D146" s="7" t="inlineStr">
        <is>
          <t>GABA</t>
        </is>
      </c>
      <c r="E146" s="13" t="n">
        <v>1131</v>
      </c>
      <c r="F146" s="8" t="n">
        <v>4.276568426171529</v>
      </c>
      <c r="G146" s="14" t="n">
        <v>0.6648983200707339</v>
      </c>
      <c r="H146" s="7" t="n">
        <v>2</v>
      </c>
    </row>
    <row r="147">
      <c r="A147" s="7" t="n">
        <v>143</v>
      </c>
      <c r="B147" s="7" t="inlineStr">
        <is>
          <t>309 CB PLI Gly-Gaba</t>
        </is>
      </c>
      <c r="C147" s="7" t="inlineStr">
        <is>
          <t>28 CB GABA</t>
        </is>
      </c>
      <c r="D147" s="7" t="inlineStr">
        <is>
          <t>GABA</t>
        </is>
      </c>
      <c r="E147" s="13" t="n">
        <v>4470</v>
      </c>
      <c r="F147" s="8" t="n">
        <v>4.264221302483222</v>
      </c>
      <c r="G147" s="14" t="n">
        <v>0.6378076062639821</v>
      </c>
      <c r="H147" s="7" t="n">
        <v>4</v>
      </c>
    </row>
    <row r="148">
      <c r="A148" s="7" t="n">
        <v>144</v>
      </c>
      <c r="B148" s="7" t="inlineStr">
        <is>
          <t>163 APN C1ql2 Glut</t>
        </is>
      </c>
      <c r="C148" s="7" t="inlineStr">
        <is>
          <t>19 MB Glut</t>
        </is>
      </c>
      <c r="D148" s="7" t="inlineStr">
        <is>
          <t>Glut</t>
        </is>
      </c>
      <c r="E148" s="13" t="n">
        <v>2275</v>
      </c>
      <c r="F148" s="8" t="n">
        <v>4.261370309538462</v>
      </c>
      <c r="G148" s="14" t="n">
        <v>0.6892307692307692</v>
      </c>
      <c r="H148" s="7" t="n">
        <v>3</v>
      </c>
    </row>
    <row r="149">
      <c r="A149" s="7" t="n">
        <v>145</v>
      </c>
      <c r="B149" s="7" t="inlineStr">
        <is>
          <t>087 MPN-MPO-LPO Lhx6 Zfhx3 Gaba</t>
        </is>
      </c>
      <c r="C149" s="7" t="inlineStr">
        <is>
          <t>11 CNU-HYa GABA</t>
        </is>
      </c>
      <c r="D149" s="7" t="inlineStr">
        <is>
          <t>GABA</t>
        </is>
      </c>
      <c r="E149" s="13" t="n">
        <v>1003</v>
      </c>
      <c r="F149" s="8" t="n">
        <v>4.242015751345962</v>
      </c>
      <c r="G149" s="14" t="n">
        <v>0.7018943170488534</v>
      </c>
      <c r="H149" s="7" t="n">
        <v>3</v>
      </c>
    </row>
    <row r="150">
      <c r="A150" s="7" t="n">
        <v>146</v>
      </c>
      <c r="B150" s="7" t="inlineStr">
        <is>
          <t>256 SPVC Mafa Glut</t>
        </is>
      </c>
      <c r="C150" s="7" t="inlineStr">
        <is>
          <t>24 MY Glut</t>
        </is>
      </c>
      <c r="D150" s="7" t="inlineStr">
        <is>
          <t>Glut</t>
        </is>
      </c>
      <c r="E150" s="13" t="n">
        <v>3388</v>
      </c>
      <c r="F150" s="8" t="n">
        <v>4.224237</v>
      </c>
      <c r="G150" s="14" t="n">
        <v>0.6688311688311688</v>
      </c>
      <c r="H150" s="7" t="n">
        <v>1</v>
      </c>
    </row>
    <row r="151">
      <c r="A151" s="7" t="n">
        <v>147</v>
      </c>
      <c r="B151" s="7" t="inlineStr">
        <is>
          <t>057 NDB-SI-MA-STRv Lhx8 Gaba</t>
        </is>
      </c>
      <c r="C151" s="7" t="inlineStr">
        <is>
          <t>08 CNU-MGE GABA</t>
        </is>
      </c>
      <c r="D151" s="7" t="inlineStr">
        <is>
          <t>GABA</t>
        </is>
      </c>
      <c r="E151" s="13" t="n">
        <v>8034</v>
      </c>
      <c r="F151" s="8" t="n">
        <v>4.214265260393328</v>
      </c>
      <c r="G151" s="14" t="n">
        <v>0.7165795369678865</v>
      </c>
      <c r="H151" s="7" t="n">
        <v>5</v>
      </c>
    </row>
    <row r="152">
      <c r="A152" s="7" t="n">
        <v>148</v>
      </c>
      <c r="B152" s="7" t="inlineStr">
        <is>
          <t>315 DCO UBC Glut</t>
        </is>
      </c>
      <c r="C152" s="7" t="inlineStr">
        <is>
          <t>29 CB Glut</t>
        </is>
      </c>
      <c r="D152" s="7" t="inlineStr">
        <is>
          <t>Glut</t>
        </is>
      </c>
      <c r="E152" s="13" t="n">
        <v>7328</v>
      </c>
      <c r="F152" s="8" t="n">
        <v>4.210234791157205</v>
      </c>
      <c r="G152" s="14" t="n">
        <v>0.5930676855895196</v>
      </c>
      <c r="H152" s="7" t="n">
        <v>4</v>
      </c>
    </row>
    <row r="153">
      <c r="A153" s="7" t="n">
        <v>149</v>
      </c>
      <c r="B153" s="7" t="inlineStr">
        <is>
          <t>090 BST-MPN Six3 Nrgn Gaba</t>
        </is>
      </c>
      <c r="C153" s="7" t="inlineStr">
        <is>
          <t>11 CNU-HYa GABA</t>
        </is>
      </c>
      <c r="D153" s="7" t="inlineStr">
        <is>
          <t>GABA</t>
        </is>
      </c>
      <c r="E153" s="13" t="n">
        <v>3863</v>
      </c>
      <c r="F153" s="8" t="n">
        <v>4.207047383743205</v>
      </c>
      <c r="G153" s="14" t="n">
        <v>0.6893606005695055</v>
      </c>
      <c r="H153" s="7" t="n">
        <v>7</v>
      </c>
    </row>
    <row r="154">
      <c r="A154" s="7" t="n">
        <v>150</v>
      </c>
      <c r="B154" s="7" t="inlineStr">
        <is>
          <t>094 SCH Six6 Cdc14a Gaba</t>
        </is>
      </c>
      <c r="C154" s="7" t="inlineStr">
        <is>
          <t>12 HY GABA</t>
        </is>
      </c>
      <c r="D154" s="7" t="inlineStr">
        <is>
          <t>GABA</t>
        </is>
      </c>
      <c r="E154" s="13" t="n">
        <v>1841</v>
      </c>
      <c r="F154" s="8" t="n">
        <v>4.179237044486692</v>
      </c>
      <c r="G154" s="14" t="n">
        <v>0.6230309614340033</v>
      </c>
      <c r="H154" s="7" t="n">
        <v>3</v>
      </c>
    </row>
    <row r="155">
      <c r="A155" s="7" t="n">
        <v>151</v>
      </c>
      <c r="B155" s="7" t="inlineStr">
        <is>
          <t>015 ENTmv-PA-COAp Glut</t>
        </is>
      </c>
      <c r="C155" s="7" t="inlineStr">
        <is>
          <t>01 IT-ET Glut</t>
        </is>
      </c>
      <c r="D155" s="7" t="inlineStr">
        <is>
          <t>Glut</t>
        </is>
      </c>
      <c r="E155" s="13" t="n">
        <v>782</v>
      </c>
      <c r="F155" s="8" t="n">
        <v>4.17552008516624</v>
      </c>
      <c r="G155" s="14" t="n">
        <v>0.7480818414322251</v>
      </c>
      <c r="H155" s="7" t="n">
        <v>3</v>
      </c>
    </row>
    <row r="156">
      <c r="A156" s="7" t="n">
        <v>152</v>
      </c>
      <c r="B156" s="7" t="inlineStr">
        <is>
          <t>028 L6b/CT ENT Glut</t>
        </is>
      </c>
      <c r="C156" s="7" t="inlineStr">
        <is>
          <t>02 NP-CT-L6b Glut</t>
        </is>
      </c>
      <c r="D156" s="7" t="inlineStr">
        <is>
          <t>Glut</t>
        </is>
      </c>
      <c r="E156" s="13" t="n">
        <v>5645</v>
      </c>
      <c r="F156" s="8" t="n">
        <v>4.173181913782107</v>
      </c>
      <c r="G156" s="14" t="n">
        <v>0.7257750221434898</v>
      </c>
      <c r="H156" s="7" t="n">
        <v>5</v>
      </c>
    </row>
    <row r="157">
      <c r="A157" s="7" t="n">
        <v>153</v>
      </c>
      <c r="B157" s="7" t="inlineStr">
        <is>
          <t>151 TH Prkcd Grin2c Glut</t>
        </is>
      </c>
      <c r="C157" s="7" t="inlineStr">
        <is>
          <t>18 TH Glut</t>
        </is>
      </c>
      <c r="D157" s="7" t="inlineStr">
        <is>
          <t>Glut</t>
        </is>
      </c>
      <c r="E157" s="13" t="n">
        <v>25482</v>
      </c>
      <c r="F157" s="8" t="n">
        <v>4.148704144227298</v>
      </c>
      <c r="G157" s="14" t="n">
        <v>0.7561023467545719</v>
      </c>
      <c r="H157" s="7" t="n">
        <v>5</v>
      </c>
    </row>
    <row r="158">
      <c r="A158" s="7" t="n">
        <v>154</v>
      </c>
      <c r="B158" s="7" t="inlineStr">
        <is>
          <t>168 SPA-SPFm-SPFp-POL-PIL-PoT Sp9 Glut</t>
        </is>
      </c>
      <c r="C158" s="7" t="inlineStr">
        <is>
          <t>19 MB Glut</t>
        </is>
      </c>
      <c r="D158" s="7" t="inlineStr">
        <is>
          <t>Glut</t>
        </is>
      </c>
      <c r="E158" s="13" t="n">
        <v>7653</v>
      </c>
      <c r="F158" s="8" t="n">
        <v>4.143697301816282</v>
      </c>
      <c r="G158" s="14" t="n">
        <v>0.6828694629557036</v>
      </c>
      <c r="H158" s="7" t="n">
        <v>7</v>
      </c>
    </row>
    <row r="159">
      <c r="A159" s="7" t="n">
        <v>155</v>
      </c>
      <c r="B159" s="7" t="inlineStr">
        <is>
          <t>335 BAM NN</t>
        </is>
      </c>
      <c r="C159" s="7" t="inlineStr">
        <is>
          <t>34 Immune</t>
        </is>
      </c>
      <c r="D159" s="7" t="n"/>
      <c r="E159" s="13" t="n">
        <v>5516</v>
      </c>
      <c r="F159" s="8" t="n">
        <v>4.139340412146483</v>
      </c>
      <c r="G159" s="14" t="n">
        <v>0.5398839738941261</v>
      </c>
      <c r="H159" s="7" t="n">
        <v>13</v>
      </c>
    </row>
    <row r="160">
      <c r="A160" s="7" t="n">
        <v>156</v>
      </c>
      <c r="B160" s="7" t="inlineStr">
        <is>
          <t>186 SCop Pou4f2 Neurod2 Glut</t>
        </is>
      </c>
      <c r="C160" s="7" t="inlineStr">
        <is>
          <t>19 MB Glut</t>
        </is>
      </c>
      <c r="D160" s="7" t="inlineStr">
        <is>
          <t>Glut</t>
        </is>
      </c>
      <c r="E160" s="13" t="n">
        <v>604</v>
      </c>
      <c r="F160" s="8" t="n">
        <v>4.132568207781457</v>
      </c>
      <c r="G160" s="14" t="n">
        <v>0.6556291390728477</v>
      </c>
      <c r="H160" s="7" t="n">
        <v>2</v>
      </c>
    </row>
    <row r="161">
      <c r="A161" s="7" t="n">
        <v>157</v>
      </c>
      <c r="B161" s="7" t="inlineStr">
        <is>
          <t>215 SNc-VTA-RAmb Foxa1 Dopa</t>
        </is>
      </c>
      <c r="C161" s="7" t="inlineStr">
        <is>
          <t>21 MB Dopa</t>
        </is>
      </c>
      <c r="D161" s="7" t="inlineStr">
        <is>
          <t>Dopa</t>
        </is>
      </c>
      <c r="E161" s="13" t="n">
        <v>4239</v>
      </c>
      <c r="F161" s="8" t="n">
        <v>4.119035481410711</v>
      </c>
      <c r="G161" s="14" t="n">
        <v>0.7395612172682237</v>
      </c>
      <c r="H161" s="7" t="n">
        <v>6</v>
      </c>
    </row>
    <row r="162">
      <c r="A162" s="7" t="n">
        <v>158</v>
      </c>
      <c r="B162" s="7" t="inlineStr">
        <is>
          <t>198 IC Six3 En2 Gaba</t>
        </is>
      </c>
      <c r="C162" s="7" t="inlineStr">
        <is>
          <t>20 MB GABA</t>
        </is>
      </c>
      <c r="D162" s="7" t="inlineStr">
        <is>
          <t>GABA</t>
        </is>
      </c>
      <c r="E162" s="13" t="n">
        <v>4562</v>
      </c>
      <c r="F162" s="8" t="n">
        <v>4.098648341473038</v>
      </c>
      <c r="G162" s="14" t="n">
        <v>0.6790881192459448</v>
      </c>
      <c r="H162" s="7" t="n">
        <v>4</v>
      </c>
    </row>
    <row r="163">
      <c r="A163" s="7" t="n">
        <v>159</v>
      </c>
      <c r="B163" s="7" t="inlineStr">
        <is>
          <t>056 Sst Chodl Gaba</t>
        </is>
      </c>
      <c r="C163" s="7" t="inlineStr">
        <is>
          <t>08 CNU-MGE GABA</t>
        </is>
      </c>
      <c r="D163" s="7" t="inlineStr">
        <is>
          <t>GABA</t>
        </is>
      </c>
      <c r="E163" s="13" t="n">
        <v>3054</v>
      </c>
      <c r="F163" s="8" t="n">
        <v>4.091216022888015</v>
      </c>
      <c r="G163" s="14" t="n">
        <v>0.6889325474787165</v>
      </c>
      <c r="H163" s="7" t="n">
        <v>9</v>
      </c>
    </row>
    <row r="164">
      <c r="A164" s="7" t="n">
        <v>160</v>
      </c>
      <c r="B164" s="7" t="inlineStr">
        <is>
          <t>318 Astro-NT NN</t>
        </is>
      </c>
      <c r="C164" s="7" t="inlineStr">
        <is>
          <t>30 Astro-Epen</t>
        </is>
      </c>
      <c r="D164" s="7" t="n"/>
      <c r="E164" s="13" t="n">
        <v>139030</v>
      </c>
      <c r="F164" s="8" t="n">
        <v>4.086697386960369</v>
      </c>
      <c r="G164" s="14" t="n">
        <v>0.5374955045673596</v>
      </c>
      <c r="H164" s="7" t="n">
        <v>12</v>
      </c>
    </row>
    <row r="165">
      <c r="A165" s="7" t="n">
        <v>161</v>
      </c>
      <c r="B165" s="7" t="inlineStr">
        <is>
          <t>216 MB-MY Tph2 Glut-Sero</t>
        </is>
      </c>
      <c r="C165" s="7" t="inlineStr">
        <is>
          <t>22 MB-HB Sero</t>
        </is>
      </c>
      <c r="D165" s="7" t="inlineStr">
        <is>
          <t>Glut</t>
        </is>
      </c>
      <c r="E165" s="13" t="n">
        <v>2465</v>
      </c>
      <c r="F165" s="8" t="n">
        <v>4.068364575212982</v>
      </c>
      <c r="G165" s="14" t="n">
        <v>0.7330628803245436</v>
      </c>
      <c r="H165" s="7" t="n">
        <v>4</v>
      </c>
    </row>
    <row r="166">
      <c r="A166" s="7" t="n">
        <v>162</v>
      </c>
      <c r="B166" s="7" t="inlineStr">
        <is>
          <t>232 LDT Vsx2 Nkx6-1 Nfib Glut</t>
        </is>
      </c>
      <c r="C166" s="7" t="inlineStr">
        <is>
          <t>23 P Glut</t>
        </is>
      </c>
      <c r="D166" s="7" t="inlineStr">
        <is>
          <t>Glut</t>
        </is>
      </c>
      <c r="E166" s="13" t="n">
        <v>1378</v>
      </c>
      <c r="F166" s="8" t="n">
        <v>4.065678225544268</v>
      </c>
      <c r="G166" s="14" t="n">
        <v>0.6698113207547169</v>
      </c>
      <c r="H166" s="7" t="n">
        <v>3</v>
      </c>
    </row>
    <row r="167">
      <c r="A167" s="7" t="n">
        <v>163</v>
      </c>
      <c r="B167" s="7" t="inlineStr">
        <is>
          <t>187 SCsg Pde5a Glut</t>
        </is>
      </c>
      <c r="C167" s="7" t="inlineStr">
        <is>
          <t>19 MB Glut</t>
        </is>
      </c>
      <c r="D167" s="7" t="inlineStr">
        <is>
          <t>Glut</t>
        </is>
      </c>
      <c r="E167" s="13" t="n">
        <v>2043</v>
      </c>
      <c r="F167" s="8" t="n">
        <v>3.950236508761625</v>
      </c>
      <c r="G167" s="14" t="n">
        <v>0.6319138521781693</v>
      </c>
      <c r="H167" s="7" t="n">
        <v>2</v>
      </c>
    </row>
    <row r="168">
      <c r="A168" s="7" t="n">
        <v>164</v>
      </c>
      <c r="B168" s="7" t="inlineStr">
        <is>
          <t>136 PMv-TMv Pitx2 Glut</t>
        </is>
      </c>
      <c r="C168" s="7" t="inlineStr">
        <is>
          <t>14 HY Glut</t>
        </is>
      </c>
      <c r="D168" s="7" t="inlineStr">
        <is>
          <t>Glut</t>
        </is>
      </c>
      <c r="E168" s="13" t="n">
        <v>1211</v>
      </c>
      <c r="F168" s="8" t="n">
        <v>3.938929703798513</v>
      </c>
      <c r="G168" s="14" t="n">
        <v>0.7060280759702725</v>
      </c>
      <c r="H168" s="7" t="n">
        <v>2</v>
      </c>
    </row>
    <row r="169">
      <c r="A169" s="7" t="n">
        <v>165</v>
      </c>
      <c r="B169" s="7" t="inlineStr">
        <is>
          <t>328 OEC NN</t>
        </is>
      </c>
      <c r="C169" s="7" t="inlineStr">
        <is>
          <t>32 OEC</t>
        </is>
      </c>
      <c r="D169" s="7" t="n"/>
      <c r="E169" s="13" t="n">
        <v>699</v>
      </c>
      <c r="F169" s="8" t="n">
        <v>3.935627006151646</v>
      </c>
      <c r="G169" s="14" t="n">
        <v>0.530758226037196</v>
      </c>
      <c r="H169" s="7" t="n">
        <v>4</v>
      </c>
    </row>
    <row r="170">
      <c r="A170" s="7" t="n">
        <v>166</v>
      </c>
      <c r="B170" s="7" t="inlineStr">
        <is>
          <t>300 PARN-MDRNd-NTS Gbx2 Gly-Gaba</t>
        </is>
      </c>
      <c r="C170" s="7" t="inlineStr">
        <is>
          <t>27 MY GABA</t>
        </is>
      </c>
      <c r="D170" s="7" t="inlineStr">
        <is>
          <t>GABA-Glyc</t>
        </is>
      </c>
      <c r="E170" s="13" t="n">
        <v>3955</v>
      </c>
      <c r="F170" s="8" t="n">
        <v>3.903761504879899</v>
      </c>
      <c r="G170" s="14" t="n">
        <v>0.6558786346396965</v>
      </c>
      <c r="H170" s="7" t="n">
        <v>2</v>
      </c>
    </row>
    <row r="171">
      <c r="A171" s="7" t="n">
        <v>167</v>
      </c>
      <c r="B171" s="7" t="inlineStr">
        <is>
          <t>088 BST Tac2 Gaba</t>
        </is>
      </c>
      <c r="C171" s="7" t="inlineStr">
        <is>
          <t>11 CNU-HYa GABA</t>
        </is>
      </c>
      <c r="D171" s="7" t="inlineStr">
        <is>
          <t>GABA</t>
        </is>
      </c>
      <c r="E171" s="13" t="n">
        <v>1106</v>
      </c>
      <c r="F171" s="8" t="n">
        <v>3.893269672694395</v>
      </c>
      <c r="G171" s="14" t="n">
        <v>0.6672694394213382</v>
      </c>
      <c r="H171" s="7" t="n">
        <v>3</v>
      </c>
    </row>
    <row r="172">
      <c r="A172" s="7" t="n">
        <v>168</v>
      </c>
      <c r="B172" s="7" t="inlineStr">
        <is>
          <t>334 Microglia NN</t>
        </is>
      </c>
      <c r="C172" s="7" t="inlineStr">
        <is>
          <t>34 Immune</t>
        </is>
      </c>
      <c r="D172" s="7" t="n"/>
      <c r="E172" s="13" t="n">
        <v>81472</v>
      </c>
      <c r="F172" s="8" t="n">
        <v>3.879017706744648</v>
      </c>
      <c r="G172" s="14" t="n">
        <v>0.4917272191673212</v>
      </c>
      <c r="H172" s="7" t="n">
        <v>13</v>
      </c>
    </row>
    <row r="173">
      <c r="A173" s="7" t="n">
        <v>169</v>
      </c>
      <c r="B173" s="7" t="inlineStr">
        <is>
          <t>033 NP SUB Glut</t>
        </is>
      </c>
      <c r="C173" s="7" t="inlineStr">
        <is>
          <t>02 NP-CT-L6b Glut</t>
        </is>
      </c>
      <c r="D173" s="7" t="inlineStr">
        <is>
          <t>Glut</t>
        </is>
      </c>
      <c r="E173" s="13" t="n">
        <v>874</v>
      </c>
      <c r="F173" s="8" t="n">
        <v>3.872903893707094</v>
      </c>
      <c r="G173" s="14" t="n">
        <v>0.7013729977116705</v>
      </c>
      <c r="H173" s="7" t="n">
        <v>4</v>
      </c>
    </row>
    <row r="174">
      <c r="A174" s="7" t="n">
        <v>170</v>
      </c>
      <c r="B174" s="7" t="inlineStr">
        <is>
          <t>208 SC Lef1 Otx2 Gaba</t>
        </is>
      </c>
      <c r="C174" s="7" t="inlineStr">
        <is>
          <t>20 MB GABA</t>
        </is>
      </c>
      <c r="D174" s="7" t="inlineStr">
        <is>
          <t>GABA</t>
        </is>
      </c>
      <c r="E174" s="13" t="n">
        <v>1945</v>
      </c>
      <c r="F174" s="8" t="n">
        <v>3.871827307249358</v>
      </c>
      <c r="G174" s="14" t="n">
        <v>0.5820051413881748</v>
      </c>
      <c r="H174" s="7" t="n">
        <v>2</v>
      </c>
    </row>
    <row r="175">
      <c r="A175" s="7" t="n">
        <v>171</v>
      </c>
      <c r="B175" s="7" t="inlineStr">
        <is>
          <t>304 NTS-PARN Neurod2 Gly-Gaba</t>
        </is>
      </c>
      <c r="C175" s="7" t="inlineStr">
        <is>
          <t>27 MY GABA</t>
        </is>
      </c>
      <c r="D175" s="7" t="inlineStr">
        <is>
          <t>GABA-Glyc</t>
        </is>
      </c>
      <c r="E175" s="13" t="n">
        <v>6222</v>
      </c>
      <c r="F175" s="8" t="n">
        <v>3.862999672356156</v>
      </c>
      <c r="G175" s="14" t="n">
        <v>0.635326261652202</v>
      </c>
      <c r="H175" s="7" t="n">
        <v>2</v>
      </c>
    </row>
    <row r="176">
      <c r="A176" s="7" t="n">
        <v>172</v>
      </c>
      <c r="B176" s="7" t="inlineStr">
        <is>
          <t>078 SI-MA-ACB Ebf1 Bnc2 Gaba</t>
        </is>
      </c>
      <c r="C176" s="7" t="inlineStr">
        <is>
          <t>11 CNU-HYa GABA</t>
        </is>
      </c>
      <c r="D176" s="7" t="inlineStr">
        <is>
          <t>GABA</t>
        </is>
      </c>
      <c r="E176" s="13" t="n">
        <v>1544</v>
      </c>
      <c r="F176" s="8" t="n">
        <v>3.861328956735752</v>
      </c>
      <c r="G176" s="14" t="n">
        <v>0.6405440414507771</v>
      </c>
      <c r="H176" s="7" t="n">
        <v>5</v>
      </c>
    </row>
    <row r="177">
      <c r="A177" s="7" t="n">
        <v>173</v>
      </c>
      <c r="B177" s="7" t="inlineStr">
        <is>
          <t>116 AVPV-MEPO-SFO Tbr1 Glut</t>
        </is>
      </c>
      <c r="C177" s="7" t="inlineStr">
        <is>
          <t>13 CNU-HYa Glut</t>
        </is>
      </c>
      <c r="D177" s="7" t="inlineStr">
        <is>
          <t>Glut</t>
        </is>
      </c>
      <c r="E177" s="13" t="n">
        <v>2210</v>
      </c>
      <c r="F177" s="8" t="n">
        <v>3.844974230316742</v>
      </c>
      <c r="G177" s="14" t="n">
        <v>0.6556561085972851</v>
      </c>
      <c r="H177" s="7" t="n">
        <v>3</v>
      </c>
    </row>
    <row r="178">
      <c r="A178" s="7" t="n">
        <v>174</v>
      </c>
      <c r="B178" s="7" t="inlineStr">
        <is>
          <t>305 SPVI-SPVC Sall3 Nfib Gly-Gaba</t>
        </is>
      </c>
      <c r="C178" s="7" t="inlineStr">
        <is>
          <t>27 MY GABA</t>
        </is>
      </c>
      <c r="D178" s="7" t="inlineStr">
        <is>
          <t>GABA-Glyc</t>
        </is>
      </c>
      <c r="E178" s="13" t="n">
        <v>1582</v>
      </c>
      <c r="F178" s="8" t="n">
        <v>3.8420627</v>
      </c>
      <c r="G178" s="14" t="n">
        <v>0.6536030341340076</v>
      </c>
      <c r="H178" s="7" t="n">
        <v>1</v>
      </c>
    </row>
    <row r="179">
      <c r="A179" s="7" t="n">
        <v>175</v>
      </c>
      <c r="B179" s="7" t="inlineStr">
        <is>
          <t>019 L2/3 IT PPP Glut</t>
        </is>
      </c>
      <c r="C179" s="7" t="inlineStr">
        <is>
          <t>01 IT-ET Glut</t>
        </is>
      </c>
      <c r="D179" s="7" t="inlineStr">
        <is>
          <t>Glut</t>
        </is>
      </c>
      <c r="E179" s="13" t="n">
        <v>8756</v>
      </c>
      <c r="F179" s="8" t="n">
        <v>3.80938973457058</v>
      </c>
      <c r="G179" s="14" t="n">
        <v>0.6740520785746916</v>
      </c>
      <c r="H179" s="7" t="n">
        <v>4</v>
      </c>
    </row>
    <row r="180">
      <c r="A180" s="7" t="n">
        <v>176</v>
      </c>
      <c r="B180" s="7" t="inlineStr">
        <is>
          <t>333 Endo NN</t>
        </is>
      </c>
      <c r="C180" s="7" t="inlineStr">
        <is>
          <t>33 Vascular</t>
        </is>
      </c>
      <c r="D180" s="7" t="n"/>
      <c r="E180" s="13" t="n">
        <v>84356</v>
      </c>
      <c r="F180" s="8" t="n">
        <v>3.790201947700223</v>
      </c>
      <c r="G180" s="14" t="n">
        <v>0.4937763763099246</v>
      </c>
      <c r="H180" s="7" t="n">
        <v>13</v>
      </c>
    </row>
    <row r="181">
      <c r="A181" s="7" t="n">
        <v>177</v>
      </c>
      <c r="B181" s="7" t="inlineStr">
        <is>
          <t>082 CEA-BST Ebf1 Pdyn Gaba</t>
        </is>
      </c>
      <c r="C181" s="7" t="inlineStr">
        <is>
          <t>11 CNU-HYa GABA</t>
        </is>
      </c>
      <c r="D181" s="7" t="inlineStr">
        <is>
          <t>GABA</t>
        </is>
      </c>
      <c r="E181" s="13" t="n">
        <v>8782</v>
      </c>
      <c r="F181" s="8" t="n">
        <v>3.778066588499203</v>
      </c>
      <c r="G181" s="14" t="n">
        <v>0.632316101115919</v>
      </c>
      <c r="H181" s="7" t="n">
        <v>5</v>
      </c>
    </row>
    <row r="182">
      <c r="A182" s="7" t="n">
        <v>178</v>
      </c>
      <c r="B182" s="7" t="inlineStr">
        <is>
          <t>319 Astro-TE NN</t>
        </is>
      </c>
      <c r="C182" s="7" t="inlineStr">
        <is>
          <t>30 Astro-Epen</t>
        </is>
      </c>
      <c r="D182" s="7" t="n"/>
      <c r="E182" s="13" t="n">
        <v>144668</v>
      </c>
      <c r="F182" s="8" t="n">
        <v>3.772723433937706</v>
      </c>
      <c r="G182" s="14" t="n">
        <v>0.5096496806481047</v>
      </c>
      <c r="H182" s="7" t="n">
        <v>11</v>
      </c>
    </row>
    <row r="183">
      <c r="A183" s="7" t="n">
        <v>179</v>
      </c>
      <c r="B183" s="7" t="inlineStr">
        <is>
          <t>058 PAL-STR Gaba-Chol</t>
        </is>
      </c>
      <c r="C183" s="7" t="inlineStr">
        <is>
          <t>08 CNU-MGE GABA</t>
        </is>
      </c>
      <c r="D183" s="7" t="inlineStr">
        <is>
          <t>Chol</t>
        </is>
      </c>
      <c r="E183" s="13" t="n">
        <v>1190</v>
      </c>
      <c r="F183" s="8" t="n">
        <v>3.755416682016807</v>
      </c>
      <c r="G183" s="14" t="n">
        <v>0.6873949579831933</v>
      </c>
      <c r="H183" s="7" t="n">
        <v>4</v>
      </c>
    </row>
    <row r="184">
      <c r="A184" s="7" t="n">
        <v>180</v>
      </c>
      <c r="B184" s="7" t="inlineStr">
        <is>
          <t>055 STR Lhx8 Gaba</t>
        </is>
      </c>
      <c r="C184" s="7" t="inlineStr">
        <is>
          <t>08 CNU-MGE GABA</t>
        </is>
      </c>
      <c r="D184" s="7" t="inlineStr">
        <is>
          <t>GABA</t>
        </is>
      </c>
      <c r="E184" s="13" t="n">
        <v>1511</v>
      </c>
      <c r="F184" s="8" t="n">
        <v>3.709584064063534</v>
      </c>
      <c r="G184" s="14" t="n">
        <v>0.6168100595632032</v>
      </c>
      <c r="H184" s="7" t="n">
        <v>5</v>
      </c>
    </row>
    <row r="185">
      <c r="A185" s="7" t="n">
        <v>181</v>
      </c>
      <c r="B185" s="7" t="inlineStr">
        <is>
          <t>152 RE-Xi Nox4 Glut</t>
        </is>
      </c>
      <c r="C185" s="7" t="inlineStr">
        <is>
          <t>18 TH Glut</t>
        </is>
      </c>
      <c r="D185" s="7" t="inlineStr">
        <is>
          <t>Glut</t>
        </is>
      </c>
      <c r="E185" s="13" t="n">
        <v>2201</v>
      </c>
      <c r="F185" s="8" t="n">
        <v>3.701608878464335</v>
      </c>
      <c r="G185" s="14" t="n">
        <v>0.660154475238528</v>
      </c>
      <c r="H185" s="7" t="n">
        <v>3</v>
      </c>
    </row>
    <row r="186">
      <c r="A186" s="7" t="n">
        <v>182</v>
      </c>
      <c r="B186" s="7" t="inlineStr">
        <is>
          <t>121 MEA-BST Otp Zic2 Glut</t>
        </is>
      </c>
      <c r="C186" s="7" t="inlineStr">
        <is>
          <t>13 CNU-HYa Glut</t>
        </is>
      </c>
      <c r="D186" s="7" t="inlineStr">
        <is>
          <t>Glut</t>
        </is>
      </c>
      <c r="E186" s="13" t="n">
        <v>1542</v>
      </c>
      <c r="F186" s="8" t="n">
        <v>3.685396268223086</v>
      </c>
      <c r="G186" s="14" t="n">
        <v>0.6167315175097277</v>
      </c>
      <c r="H186" s="7" t="n">
        <v>6</v>
      </c>
    </row>
    <row r="187">
      <c r="A187" s="7" t="n">
        <v>183</v>
      </c>
      <c r="B187" s="7" t="inlineStr">
        <is>
          <t>014 LA-BLA-BMA-PA Glut</t>
        </is>
      </c>
      <c r="C187" s="7" t="inlineStr">
        <is>
          <t>01 IT-ET Glut</t>
        </is>
      </c>
      <c r="D187" s="7" t="inlineStr">
        <is>
          <t>Glut</t>
        </is>
      </c>
      <c r="E187" s="13" t="n">
        <v>6921</v>
      </c>
      <c r="F187" s="8" t="n">
        <v>3.678539518638925</v>
      </c>
      <c r="G187" s="14" t="n">
        <v>0.6808264701632712</v>
      </c>
      <c r="H187" s="7" t="n">
        <v>5</v>
      </c>
    </row>
    <row r="188">
      <c r="A188" s="7" t="n">
        <v>184</v>
      </c>
      <c r="B188" s="7" t="inlineStr">
        <is>
          <t>003 L5/6 IT TPE-ENT Glut</t>
        </is>
      </c>
      <c r="C188" s="7" t="inlineStr">
        <is>
          <t>01 IT-ET Glut</t>
        </is>
      </c>
      <c r="D188" s="7" t="inlineStr">
        <is>
          <t>Glut</t>
        </is>
      </c>
      <c r="E188" s="13" t="n">
        <v>1868</v>
      </c>
      <c r="F188" s="8" t="n">
        <v>3.659986808297645</v>
      </c>
      <c r="G188" s="14" t="n">
        <v>0.7135974304068522</v>
      </c>
      <c r="H188" s="7" t="n">
        <v>5</v>
      </c>
    </row>
    <row r="189">
      <c r="A189" s="7" t="n">
        <v>185</v>
      </c>
      <c r="B189" s="7" t="inlineStr">
        <is>
          <t>181 IC Tfap2d Maf Glut</t>
        </is>
      </c>
      <c r="C189" s="7" t="inlineStr">
        <is>
          <t>19 MB Glut</t>
        </is>
      </c>
      <c r="D189" s="7" t="inlineStr">
        <is>
          <t>Glut</t>
        </is>
      </c>
      <c r="E189" s="13" t="n">
        <v>19786</v>
      </c>
      <c r="F189" s="8" t="n">
        <v>3.659825473804711</v>
      </c>
      <c r="G189" s="14" t="n">
        <v>0.5959769534013948</v>
      </c>
      <c r="H189" s="7" t="n">
        <v>6</v>
      </c>
    </row>
    <row r="190">
      <c r="A190" s="7" t="n">
        <v>186</v>
      </c>
      <c r="B190" s="7" t="inlineStr">
        <is>
          <t>320 Astro-OLF NN</t>
        </is>
      </c>
      <c r="C190" s="7" t="inlineStr">
        <is>
          <t>30 Astro-Epen</t>
        </is>
      </c>
      <c r="D190" s="7" t="n"/>
      <c r="E190" s="13" t="n">
        <v>1487</v>
      </c>
      <c r="F190" s="8" t="n">
        <v>3.658249380901144</v>
      </c>
      <c r="G190" s="14" t="n">
        <v>0.5097511768661735</v>
      </c>
      <c r="H190" s="7" t="n">
        <v>6</v>
      </c>
    </row>
    <row r="191">
      <c r="A191" s="7" t="n">
        <v>187</v>
      </c>
      <c r="B191" s="7" t="inlineStr">
        <is>
          <t>052 Pvalb Gaba</t>
        </is>
      </c>
      <c r="C191" s="7" t="inlineStr">
        <is>
          <t>07 CTX-MGE GABA</t>
        </is>
      </c>
      <c r="D191" s="7" t="inlineStr">
        <is>
          <t>GABA</t>
        </is>
      </c>
      <c r="E191" s="13" t="n">
        <v>10165</v>
      </c>
      <c r="F191" s="8" t="n">
        <v>3.642240665863256</v>
      </c>
      <c r="G191" s="14" t="n">
        <v>0.6520413182488932</v>
      </c>
      <c r="H191" s="7" t="n">
        <v>9</v>
      </c>
    </row>
    <row r="192">
      <c r="A192" s="7" t="n">
        <v>188</v>
      </c>
      <c r="B192" s="7" t="inlineStr">
        <is>
          <t>207 SCs Dmbx1 Gaba</t>
        </is>
      </c>
      <c r="C192" s="7" t="inlineStr">
        <is>
          <t>20 MB GABA</t>
        </is>
      </c>
      <c r="D192" s="7" t="inlineStr">
        <is>
          <t>GABA</t>
        </is>
      </c>
      <c r="E192" s="13" t="n">
        <v>3956</v>
      </c>
      <c r="F192" s="8" t="n">
        <v>3.613794516506573</v>
      </c>
      <c r="G192" s="14" t="n">
        <v>0.5755813953488372</v>
      </c>
      <c r="H192" s="7" t="n">
        <v>2</v>
      </c>
    </row>
    <row r="193">
      <c r="A193" s="7" t="n">
        <v>189</v>
      </c>
      <c r="B193" s="7" t="inlineStr">
        <is>
          <t>054 STR Prox1 Lhx6 Gaba</t>
        </is>
      </c>
      <c r="C193" s="7" t="inlineStr">
        <is>
          <t>08 CNU-MGE GABA</t>
        </is>
      </c>
      <c r="D193" s="7" t="inlineStr">
        <is>
          <t>GABA</t>
        </is>
      </c>
      <c r="E193" s="13" t="n">
        <v>1873</v>
      </c>
      <c r="F193" s="8" t="n">
        <v>3.61019692648158</v>
      </c>
      <c r="G193" s="14" t="n">
        <v>0.611318739989322</v>
      </c>
      <c r="H193" s="7" t="n">
        <v>9</v>
      </c>
    </row>
    <row r="194">
      <c r="A194" s="7" t="n">
        <v>190</v>
      </c>
      <c r="B194" s="7" t="inlineStr">
        <is>
          <t>316 Bergmann NN</t>
        </is>
      </c>
      <c r="C194" s="7" t="inlineStr">
        <is>
          <t>30 Astro-Epen</t>
        </is>
      </c>
      <c r="D194" s="7" t="n"/>
      <c r="E194" s="13" t="n">
        <v>3321</v>
      </c>
      <c r="F194" s="8" t="n">
        <v>3.606476154080097</v>
      </c>
      <c r="G194" s="14" t="n">
        <v>0.5323697681421259</v>
      </c>
      <c r="H194" s="7" t="n">
        <v>4</v>
      </c>
    </row>
    <row r="195">
      <c r="A195" s="7" t="n">
        <v>191</v>
      </c>
      <c r="B195" s="7" t="inlineStr">
        <is>
          <t>027 L6b EPd Glut</t>
        </is>
      </c>
      <c r="C195" s="7" t="inlineStr">
        <is>
          <t>02 NP-CT-L6b Glut</t>
        </is>
      </c>
      <c r="D195" s="7" t="inlineStr">
        <is>
          <t>Glut</t>
        </is>
      </c>
      <c r="E195" s="13" t="n">
        <v>2344</v>
      </c>
      <c r="F195" s="8" t="n">
        <v>3.601606449530717</v>
      </c>
      <c r="G195" s="14" t="n">
        <v>0.6749146757679181</v>
      </c>
      <c r="H195" s="7" t="n">
        <v>7</v>
      </c>
    </row>
    <row r="196">
      <c r="A196" s="7" t="n">
        <v>192</v>
      </c>
      <c r="B196" s="7" t="inlineStr">
        <is>
          <t>153 MG-POL-SGN Nts Glut</t>
        </is>
      </c>
      <c r="C196" s="7" t="inlineStr">
        <is>
          <t>18 TH Glut</t>
        </is>
      </c>
      <c r="D196" s="7" t="inlineStr">
        <is>
          <t>Glut</t>
        </is>
      </c>
      <c r="E196" s="13" t="n">
        <v>861</v>
      </c>
      <c r="F196" s="8" t="n">
        <v>3.596563016027874</v>
      </c>
      <c r="G196" s="14" t="n">
        <v>0.6225319396051103</v>
      </c>
      <c r="H196" s="7" t="n">
        <v>2</v>
      </c>
    </row>
    <row r="197">
      <c r="A197" s="7" t="n">
        <v>193</v>
      </c>
      <c r="B197" s="7" t="inlineStr">
        <is>
          <t>084 BST-SI-AAA Six3 Slc22a3 Gaba</t>
        </is>
      </c>
      <c r="C197" s="7" t="inlineStr">
        <is>
          <t>11 CNU-HYa GABA</t>
        </is>
      </c>
      <c r="D197" s="7" t="inlineStr">
        <is>
          <t>GABA</t>
        </is>
      </c>
      <c r="E197" s="13" t="n">
        <v>952</v>
      </c>
      <c r="F197" s="8" t="n">
        <v>3.572296491386555</v>
      </c>
      <c r="G197" s="14" t="n">
        <v>0.6060924369747899</v>
      </c>
      <c r="H197" s="7" t="n">
        <v>5</v>
      </c>
    </row>
    <row r="198">
      <c r="A198" s="7" t="n">
        <v>194</v>
      </c>
      <c r="B198" s="7" t="inlineStr">
        <is>
          <t>122 LHA-MEA Otp Glut</t>
        </is>
      </c>
      <c r="C198" s="7" t="inlineStr">
        <is>
          <t>13 CNU-HYa Glut</t>
        </is>
      </c>
      <c r="D198" s="7" t="inlineStr">
        <is>
          <t>Glut</t>
        </is>
      </c>
      <c r="E198" s="13" t="n">
        <v>889</v>
      </c>
      <c r="F198" s="8" t="n">
        <v>3.567711175815523</v>
      </c>
      <c r="G198" s="14" t="n">
        <v>0.5995500562429696</v>
      </c>
      <c r="H198" s="7" t="n">
        <v>5</v>
      </c>
    </row>
    <row r="199">
      <c r="A199" s="7" t="n">
        <v>195</v>
      </c>
      <c r="B199" s="7" t="inlineStr">
        <is>
          <t>061 STR D1 Gaba</t>
        </is>
      </c>
      <c r="C199" s="7" t="inlineStr">
        <is>
          <t>09 CNU-LGE GABA</t>
        </is>
      </c>
      <c r="D199" s="7" t="inlineStr">
        <is>
          <t>GABA</t>
        </is>
      </c>
      <c r="E199" s="13" t="n">
        <v>35689</v>
      </c>
      <c r="F199" s="8" t="n">
        <v>3.560319167639889</v>
      </c>
      <c r="G199" s="14" t="n">
        <v>0.6155678220179888</v>
      </c>
      <c r="H199" s="7" t="n">
        <v>8</v>
      </c>
    </row>
    <row r="200">
      <c r="A200" s="7" t="n">
        <v>196</v>
      </c>
      <c r="B200" s="7" t="inlineStr">
        <is>
          <t>053 Sst Gaba</t>
        </is>
      </c>
      <c r="C200" s="7" t="inlineStr">
        <is>
          <t>07 CTX-MGE GABA</t>
        </is>
      </c>
      <c r="D200" s="7" t="inlineStr">
        <is>
          <t>GABA</t>
        </is>
      </c>
      <c r="E200" s="13" t="n">
        <v>15973</v>
      </c>
      <c r="F200" s="8" t="n">
        <v>3.527928914167658</v>
      </c>
      <c r="G200" s="14" t="n">
        <v>0.6288111187629124</v>
      </c>
      <c r="H200" s="7" t="n">
        <v>10</v>
      </c>
    </row>
    <row r="201">
      <c r="A201" s="7" t="n">
        <v>197</v>
      </c>
      <c r="B201" s="7" t="inlineStr">
        <is>
          <t>051 Pvalb chandelier Gaba</t>
        </is>
      </c>
      <c r="C201" s="7" t="inlineStr">
        <is>
          <t>07 CTX-MGE GABA</t>
        </is>
      </c>
      <c r="D201" s="7" t="inlineStr">
        <is>
          <t>GABA</t>
        </is>
      </c>
      <c r="E201" s="13" t="n">
        <v>1206</v>
      </c>
      <c r="F201" s="8" t="n">
        <v>3.50889340854063</v>
      </c>
      <c r="G201" s="14" t="n">
        <v>0.6243781094527363</v>
      </c>
      <c r="H201" s="7" t="n">
        <v>8</v>
      </c>
    </row>
    <row r="202">
      <c r="A202" s="7" t="n">
        <v>198</v>
      </c>
      <c r="B202" s="7" t="inlineStr">
        <is>
          <t>311 CBX MLI Megf11 Gaba</t>
        </is>
      </c>
      <c r="C202" s="7" t="inlineStr">
        <is>
          <t>28 CB GABA</t>
        </is>
      </c>
      <c r="D202" s="7" t="inlineStr">
        <is>
          <t>GABA</t>
        </is>
      </c>
      <c r="E202" s="13" t="n">
        <v>31619</v>
      </c>
      <c r="F202" s="8" t="n">
        <v>3.504228716069452</v>
      </c>
      <c r="G202" s="14" t="n">
        <v>0.5190549985768049</v>
      </c>
      <c r="H202" s="7" t="n">
        <v>4</v>
      </c>
    </row>
    <row r="203">
      <c r="A203" s="7" t="n">
        <v>199</v>
      </c>
      <c r="B203" s="7" t="inlineStr">
        <is>
          <t>059 GPe-SI Sox6 Cyp26b1 Gaba</t>
        </is>
      </c>
      <c r="C203" s="7" t="inlineStr">
        <is>
          <t>09 CNU-LGE GABA</t>
        </is>
      </c>
      <c r="D203" s="7" t="inlineStr">
        <is>
          <t>GABA</t>
        </is>
      </c>
      <c r="E203" s="13" t="n">
        <v>1386</v>
      </c>
      <c r="F203" s="8" t="n">
        <v>3.46603611038961</v>
      </c>
      <c r="G203" s="14" t="n">
        <v>0.6067821067821068</v>
      </c>
      <c r="H203" s="7" t="n">
        <v>6</v>
      </c>
    </row>
    <row r="204">
      <c r="A204" s="7" t="n">
        <v>200</v>
      </c>
      <c r="B204" s="7" t="inlineStr">
        <is>
          <t>111 TRS-BAC Sln Glut</t>
        </is>
      </c>
      <c r="C204" s="7" t="inlineStr">
        <is>
          <t>13 CNU-HYa Glut</t>
        </is>
      </c>
      <c r="D204" s="7" t="inlineStr">
        <is>
          <t>Glut</t>
        </is>
      </c>
      <c r="E204" s="13" t="n">
        <v>1169</v>
      </c>
      <c r="F204" s="8" t="n">
        <v>3.462178700684345</v>
      </c>
      <c r="G204" s="14" t="n">
        <v>0.5431993156544055</v>
      </c>
      <c r="H204" s="7" t="n">
        <v>4</v>
      </c>
    </row>
    <row r="205">
      <c r="A205" s="7" t="n">
        <v>201</v>
      </c>
      <c r="B205" s="7" t="inlineStr">
        <is>
          <t>076 MEA-BST Lhx6 Nfib Gaba</t>
        </is>
      </c>
      <c r="C205" s="7" t="inlineStr">
        <is>
          <t>11 CNU-HYa GABA</t>
        </is>
      </c>
      <c r="D205" s="7" t="inlineStr">
        <is>
          <t>GABA</t>
        </is>
      </c>
      <c r="E205" s="13" t="n">
        <v>5727</v>
      </c>
      <c r="F205" s="8" t="n">
        <v>3.456922493277458</v>
      </c>
      <c r="G205" s="14" t="n">
        <v>0.5816308713113323</v>
      </c>
      <c r="H205" s="7" t="n">
        <v>7</v>
      </c>
    </row>
    <row r="206">
      <c r="A206" s="7" t="n">
        <v>202</v>
      </c>
      <c r="B206" s="7" t="inlineStr">
        <is>
          <t>063 STR D1 Sema5a Gaba</t>
        </is>
      </c>
      <c r="C206" s="7" t="inlineStr">
        <is>
          <t>09 CNU-LGE GABA</t>
        </is>
      </c>
      <c r="D206" s="7" t="inlineStr">
        <is>
          <t>GABA</t>
        </is>
      </c>
      <c r="E206" s="13" t="n">
        <v>7117</v>
      </c>
      <c r="F206" s="8" t="n">
        <v>3.453152280694113</v>
      </c>
      <c r="G206" s="14" t="n">
        <v>0.5692005058311086</v>
      </c>
      <c r="H206" s="7" t="n">
        <v>9</v>
      </c>
    </row>
    <row r="207">
      <c r="A207" s="7" t="n">
        <v>203</v>
      </c>
      <c r="B207" s="7" t="inlineStr">
        <is>
          <t>017 CA3 Glut</t>
        </is>
      </c>
      <c r="C207" s="7" t="inlineStr">
        <is>
          <t>01 IT-ET Glut</t>
        </is>
      </c>
      <c r="D207" s="7" t="inlineStr">
        <is>
          <t>Glut</t>
        </is>
      </c>
      <c r="E207" s="13" t="n">
        <v>3172</v>
      </c>
      <c r="F207" s="8" t="n">
        <v>3.434881423203026</v>
      </c>
      <c r="G207" s="14" t="n">
        <v>0.6727616645649432</v>
      </c>
      <c r="H207" s="7" t="n">
        <v>5</v>
      </c>
    </row>
    <row r="208">
      <c r="A208" s="7" t="n">
        <v>204</v>
      </c>
      <c r="B208" s="7" t="inlineStr">
        <is>
          <t>188 SCop Sln Glut</t>
        </is>
      </c>
      <c r="C208" s="7" t="inlineStr">
        <is>
          <t>19 MB Glut</t>
        </is>
      </c>
      <c r="D208" s="7" t="inlineStr">
        <is>
          <t>Glut</t>
        </is>
      </c>
      <c r="E208" s="13" t="n">
        <v>1807</v>
      </c>
      <c r="F208" s="8" t="n">
        <v>3.4340034</v>
      </c>
      <c r="G208" s="14" t="n">
        <v>0.6347537354731599</v>
      </c>
      <c r="H208" s="7" t="n">
        <v>1</v>
      </c>
    </row>
    <row r="209">
      <c r="A209" s="7" t="n">
        <v>205</v>
      </c>
      <c r="B209" s="7" t="inlineStr">
        <is>
          <t>330 VLMC NN</t>
        </is>
      </c>
      <c r="C209" s="7" t="inlineStr">
        <is>
          <t>33 Vascular</t>
        </is>
      </c>
      <c r="D209" s="7" t="n"/>
      <c r="E209" s="13" t="n">
        <v>8544</v>
      </c>
      <c r="F209" s="8" t="n">
        <v>3.433970357876873</v>
      </c>
      <c r="G209" s="14" t="n">
        <v>0.4590355805243445</v>
      </c>
      <c r="H209" s="7" t="n">
        <v>13</v>
      </c>
    </row>
    <row r="210">
      <c r="A210" s="7" t="n">
        <v>206</v>
      </c>
      <c r="B210" s="7" t="inlineStr">
        <is>
          <t>323 Ependymal NN</t>
        </is>
      </c>
      <c r="C210" s="7" t="inlineStr">
        <is>
          <t>30 Astro-Epen</t>
        </is>
      </c>
      <c r="D210" s="7" t="n"/>
      <c r="E210" s="13" t="n">
        <v>3096</v>
      </c>
      <c r="F210" s="8" t="n">
        <v>3.430613374515504</v>
      </c>
      <c r="G210" s="14" t="n">
        <v>0.5051679586563307</v>
      </c>
      <c r="H210" s="7" t="n">
        <v>13</v>
      </c>
    </row>
    <row r="211">
      <c r="A211" s="7" t="n">
        <v>207</v>
      </c>
      <c r="B211" s="7" t="inlineStr">
        <is>
          <t>119 SI-MA-LPO-LHA Skor1 Glut</t>
        </is>
      </c>
      <c r="C211" s="7" t="inlineStr">
        <is>
          <t>13 CNU-HYa Glut</t>
        </is>
      </c>
      <c r="D211" s="7" t="inlineStr">
        <is>
          <t>Glut</t>
        </is>
      </c>
      <c r="E211" s="13" t="n">
        <v>6588</v>
      </c>
      <c r="F211" s="8" t="n">
        <v>3.406108852276867</v>
      </c>
      <c r="G211" s="14" t="n">
        <v>0.5769581056466302</v>
      </c>
      <c r="H211" s="7" t="n">
        <v>6</v>
      </c>
    </row>
    <row r="212">
      <c r="A212" s="7" t="n">
        <v>208</v>
      </c>
      <c r="B212" s="7" t="inlineStr">
        <is>
          <t>010 IT AON-TT-DP Glut</t>
        </is>
      </c>
      <c r="C212" s="7" t="inlineStr">
        <is>
          <t>01 IT-ET Glut</t>
        </is>
      </c>
      <c r="D212" s="7" t="inlineStr">
        <is>
          <t>Glut</t>
        </is>
      </c>
      <c r="E212" s="13" t="n">
        <v>3620</v>
      </c>
      <c r="F212" s="8" t="n">
        <v>3.38960661660221</v>
      </c>
      <c r="G212" s="14" t="n">
        <v>0.6071823204419888</v>
      </c>
      <c r="H212" s="7" t="n">
        <v>7</v>
      </c>
    </row>
    <row r="213">
      <c r="A213" s="7" t="n">
        <v>209</v>
      </c>
      <c r="B213" s="7" t="inlineStr">
        <is>
          <t>016 CA1-ProS Glut</t>
        </is>
      </c>
      <c r="C213" s="7" t="inlineStr">
        <is>
          <t>01 IT-ET Glut</t>
        </is>
      </c>
      <c r="D213" s="7" t="inlineStr">
        <is>
          <t>Glut</t>
        </is>
      </c>
      <c r="E213" s="13" t="n">
        <v>14630</v>
      </c>
      <c r="F213" s="8" t="n">
        <v>3.386445303636364</v>
      </c>
      <c r="G213" s="14" t="n">
        <v>0.6435406698564593</v>
      </c>
      <c r="H213" s="7" t="n">
        <v>5</v>
      </c>
    </row>
    <row r="214">
      <c r="A214" s="7" t="n">
        <v>210</v>
      </c>
      <c r="B214" s="7" t="inlineStr">
        <is>
          <t>030 L6 CT CTX Glut</t>
        </is>
      </c>
      <c r="C214" s="7" t="inlineStr">
        <is>
          <t>02 NP-CT-L6b Glut</t>
        </is>
      </c>
      <c r="D214" s="7" t="inlineStr">
        <is>
          <t>Glut</t>
        </is>
      </c>
      <c r="E214" s="13" t="n">
        <v>52484</v>
      </c>
      <c r="F214" s="8" t="n">
        <v>3.375698774731346</v>
      </c>
      <c r="G214" s="14" t="n">
        <v>0.5787287554302264</v>
      </c>
      <c r="H214" s="7" t="n">
        <v>6</v>
      </c>
    </row>
    <row r="215">
      <c r="A215" s="7" t="n">
        <v>211</v>
      </c>
      <c r="B215" s="7" t="inlineStr">
        <is>
          <t>317 Astro-CB NN</t>
        </is>
      </c>
      <c r="C215" s="7" t="inlineStr">
        <is>
          <t>30 Astro-Epen</t>
        </is>
      </c>
      <c r="D215" s="7" t="n"/>
      <c r="E215" s="13" t="n">
        <v>1715</v>
      </c>
      <c r="F215" s="8" t="n">
        <v>3.353410260524781</v>
      </c>
      <c r="G215" s="14" t="n">
        <v>0.4559766763848396</v>
      </c>
      <c r="H215" s="7" t="n">
        <v>4</v>
      </c>
    </row>
    <row r="216">
      <c r="A216" s="7" t="n">
        <v>212</v>
      </c>
      <c r="B216" s="7" t="inlineStr">
        <is>
          <t>306 SPVI-SPVC Sall3 Lhx1 Gly-Gaba</t>
        </is>
      </c>
      <c r="C216" s="7" t="inlineStr">
        <is>
          <t>27 MY GABA</t>
        </is>
      </c>
      <c r="D216" s="7" t="inlineStr">
        <is>
          <t>GABA</t>
        </is>
      </c>
      <c r="E216" s="13" t="n">
        <v>2002</v>
      </c>
      <c r="F216" s="8" t="n">
        <v>3.321107160139861</v>
      </c>
      <c r="G216" s="14" t="n">
        <v>0.568931068931069</v>
      </c>
      <c r="H216" s="7" t="n">
        <v>1</v>
      </c>
    </row>
    <row r="217">
      <c r="A217" s="7" t="n">
        <v>213</v>
      </c>
      <c r="B217" s="7" t="inlineStr">
        <is>
          <t>075 MEA-BST Lhx6 Nr2e1 Gaba</t>
        </is>
      </c>
      <c r="C217" s="7" t="inlineStr">
        <is>
          <t>11 CNU-HYa GABA</t>
        </is>
      </c>
      <c r="D217" s="7" t="inlineStr">
        <is>
          <t>GABA</t>
        </is>
      </c>
      <c r="E217" s="13" t="n">
        <v>2967</v>
      </c>
      <c r="F217" s="8" t="n">
        <v>3.320926466430738</v>
      </c>
      <c r="G217" s="14" t="n">
        <v>0.5551061678463095</v>
      </c>
      <c r="H217" s="7" t="n">
        <v>7</v>
      </c>
    </row>
    <row r="218">
      <c r="A218" s="7" t="n">
        <v>214</v>
      </c>
      <c r="B218" s="7" t="inlineStr">
        <is>
          <t>005 L5 IT CTX Glut</t>
        </is>
      </c>
      <c r="C218" s="7" t="inlineStr">
        <is>
          <t>01 IT-ET Glut</t>
        </is>
      </c>
      <c r="D218" s="7" t="inlineStr">
        <is>
          <t>Glut</t>
        </is>
      </c>
      <c r="E218" s="13" t="n">
        <v>19939</v>
      </c>
      <c r="F218" s="8" t="n">
        <v>3.281802428115753</v>
      </c>
      <c r="G218" s="14" t="n">
        <v>0.5904007222027183</v>
      </c>
      <c r="H218" s="7" t="n">
        <v>5</v>
      </c>
    </row>
    <row r="219">
      <c r="A219" s="7" t="n">
        <v>215</v>
      </c>
      <c r="B219" s="7" t="inlineStr">
        <is>
          <t>018 L2 IT PPP-APr Glut</t>
        </is>
      </c>
      <c r="C219" s="7" t="inlineStr">
        <is>
          <t>01 IT-ET Glut</t>
        </is>
      </c>
      <c r="D219" s="7" t="inlineStr">
        <is>
          <t>Glut</t>
        </is>
      </c>
      <c r="E219" s="13" t="n">
        <v>1825</v>
      </c>
      <c r="F219" s="8" t="n">
        <v>3.276859667780822</v>
      </c>
      <c r="G219" s="14" t="n">
        <v>0.5698630136986301</v>
      </c>
      <c r="H219" s="7" t="n">
        <v>2</v>
      </c>
    </row>
    <row r="220">
      <c r="A220" s="7" t="n">
        <v>216</v>
      </c>
      <c r="B220" s="7" t="inlineStr">
        <is>
          <t>060 OT D3 Folh1 Gaba</t>
        </is>
      </c>
      <c r="C220" s="7" t="inlineStr">
        <is>
          <t>09 CNU-LGE GABA</t>
        </is>
      </c>
      <c r="D220" s="7" t="inlineStr">
        <is>
          <t>GABA</t>
        </is>
      </c>
      <c r="E220" s="13" t="n">
        <v>12315</v>
      </c>
      <c r="F220" s="8" t="n">
        <v>3.263799585156313</v>
      </c>
      <c r="G220" s="14" t="n">
        <v>0.4743808363784003</v>
      </c>
      <c r="H220" s="7" t="n">
        <v>9</v>
      </c>
    </row>
    <row r="221">
      <c r="A221" s="7" t="n">
        <v>217</v>
      </c>
      <c r="B221" s="7" t="inlineStr">
        <is>
          <t>074 MEA-BST Lhx6 Sp9 Gaba</t>
        </is>
      </c>
      <c r="C221" s="7" t="inlineStr">
        <is>
          <t>11 CNU-HYa GABA</t>
        </is>
      </c>
      <c r="D221" s="7" t="inlineStr">
        <is>
          <t>GABA</t>
        </is>
      </c>
      <c r="E221" s="13" t="n">
        <v>8035</v>
      </c>
      <c r="F221" s="8" t="n">
        <v>3.258880143223398</v>
      </c>
      <c r="G221" s="14" t="n">
        <v>0.5607965152457997</v>
      </c>
      <c r="H221" s="7" t="n">
        <v>7</v>
      </c>
    </row>
    <row r="222">
      <c r="A222" s="7" t="n">
        <v>218</v>
      </c>
      <c r="B222" s="7" t="inlineStr">
        <is>
          <t>080 CEA-AAA-BST Six3 Sp9 Gaba</t>
        </is>
      </c>
      <c r="C222" s="7" t="inlineStr">
        <is>
          <t>11 CNU-HYa GABA</t>
        </is>
      </c>
      <c r="D222" s="7" t="inlineStr">
        <is>
          <t>GABA</t>
        </is>
      </c>
      <c r="E222" s="13" t="n">
        <v>5393</v>
      </c>
      <c r="F222" s="8" t="n">
        <v>3.25293879499351</v>
      </c>
      <c r="G222" s="14" t="n">
        <v>0.5436677174114593</v>
      </c>
      <c r="H222" s="7" t="n">
        <v>6</v>
      </c>
    </row>
    <row r="223">
      <c r="A223" s="7" t="n">
        <v>219</v>
      </c>
      <c r="B223" s="7" t="inlineStr">
        <is>
          <t>120 MEA Otp Foxp2 Glut</t>
        </is>
      </c>
      <c r="C223" s="7" t="inlineStr">
        <is>
          <t>13 CNU-HYa Glut</t>
        </is>
      </c>
      <c r="D223" s="7" t="inlineStr">
        <is>
          <t>Glut</t>
        </is>
      </c>
      <c r="E223" s="13" t="n">
        <v>1520</v>
      </c>
      <c r="F223" s="8" t="n">
        <v>3.248060675855263</v>
      </c>
      <c r="G223" s="14" t="n">
        <v>0.5638157894736842</v>
      </c>
      <c r="H223" s="7" t="n">
        <v>4</v>
      </c>
    </row>
    <row r="224">
      <c r="A224" s="7" t="n">
        <v>220</v>
      </c>
      <c r="B224" s="7" t="inlineStr">
        <is>
          <t>022 L5 ET CTX Glut</t>
        </is>
      </c>
      <c r="C224" s="7" t="inlineStr">
        <is>
          <t>01 IT-ET Glut</t>
        </is>
      </c>
      <c r="D224" s="7" t="inlineStr">
        <is>
          <t>Glut</t>
        </is>
      </c>
      <c r="E224" s="13" t="n">
        <v>6060</v>
      </c>
      <c r="F224" s="8" t="n">
        <v>3.240517314174917</v>
      </c>
      <c r="G224" s="14" t="n">
        <v>0.6384488448844885</v>
      </c>
      <c r="H224" s="7" t="n">
        <v>6</v>
      </c>
    </row>
    <row r="225">
      <c r="A225" s="7" t="n">
        <v>221</v>
      </c>
      <c r="B225" s="7" t="inlineStr">
        <is>
          <t>035 OB Eomes Ms4a15 Glut</t>
        </is>
      </c>
      <c r="C225" s="7" t="inlineStr">
        <is>
          <t>03 OB-CR Glut</t>
        </is>
      </c>
      <c r="D225" s="7" t="inlineStr">
        <is>
          <t>Glut</t>
        </is>
      </c>
      <c r="E225" s="13" t="n">
        <v>827</v>
      </c>
      <c r="F225" s="8" t="n">
        <v>3.20692332834341</v>
      </c>
      <c r="G225" s="14" t="n">
        <v>0.5199516324062877</v>
      </c>
      <c r="H225" s="7" t="n">
        <v>7</v>
      </c>
    </row>
    <row r="226">
      <c r="A226" s="7" t="n">
        <v>222</v>
      </c>
      <c r="B226" s="7" t="inlineStr">
        <is>
          <t>069 LSX Nkx2-1 Gaba</t>
        </is>
      </c>
      <c r="C226" s="7" t="inlineStr">
        <is>
          <t>10 LSX GABA</t>
        </is>
      </c>
      <c r="D226" s="7" t="inlineStr">
        <is>
          <t>GABA</t>
        </is>
      </c>
      <c r="E226" s="13" t="n">
        <v>7852</v>
      </c>
      <c r="F226" s="8" t="n">
        <v>3.188968552852776</v>
      </c>
      <c r="G226" s="14" t="n">
        <v>0.5323484462557311</v>
      </c>
      <c r="H226" s="7" t="n">
        <v>4</v>
      </c>
    </row>
    <row r="227">
      <c r="A227" s="7" t="n">
        <v>223</v>
      </c>
      <c r="B227" s="7" t="inlineStr">
        <is>
          <t>113 MEA-COA-BMA Ccdc42 Glut</t>
        </is>
      </c>
      <c r="C227" s="7" t="inlineStr">
        <is>
          <t>13 CNU-HYa Glut</t>
        </is>
      </c>
      <c r="D227" s="7" t="inlineStr">
        <is>
          <t>Glut</t>
        </is>
      </c>
      <c r="E227" s="13" t="n">
        <v>10367</v>
      </c>
      <c r="F227" s="8" t="n">
        <v>3.157429369026719</v>
      </c>
      <c r="G227" s="14" t="n">
        <v>0.5422012153950033</v>
      </c>
      <c r="H227" s="7" t="n">
        <v>6</v>
      </c>
    </row>
    <row r="228">
      <c r="A228" s="7" t="n">
        <v>224</v>
      </c>
      <c r="B228" s="7" t="inlineStr">
        <is>
          <t>079 CEA-BST Six3 Cyp26b1 Gaba</t>
        </is>
      </c>
      <c r="C228" s="7" t="inlineStr">
        <is>
          <t>11 CNU-HYa GABA</t>
        </is>
      </c>
      <c r="D228" s="7" t="inlineStr">
        <is>
          <t>GABA</t>
        </is>
      </c>
      <c r="E228" s="13" t="n">
        <v>5790</v>
      </c>
      <c r="F228" s="8" t="n">
        <v>3.119684170569949</v>
      </c>
      <c r="G228" s="14" t="n">
        <v>0.5392055267702937</v>
      </c>
      <c r="H228" s="7" t="n">
        <v>5</v>
      </c>
    </row>
    <row r="229">
      <c r="A229" s="7" t="n">
        <v>225</v>
      </c>
      <c r="B229" s="7" t="inlineStr">
        <is>
          <t>204 SC Otx2 Gcnt4 Gaba</t>
        </is>
      </c>
      <c r="C229" s="7" t="inlineStr">
        <is>
          <t>20 MB GABA</t>
        </is>
      </c>
      <c r="D229" s="7" t="inlineStr">
        <is>
          <t>GABA</t>
        </is>
      </c>
      <c r="E229" s="13" t="n">
        <v>781</v>
      </c>
      <c r="F229" s="8" t="n">
        <v>3.106317458898848</v>
      </c>
      <c r="G229" s="14" t="n">
        <v>0.4788732394366197</v>
      </c>
      <c r="H229" s="7" t="n">
        <v>3</v>
      </c>
    </row>
    <row r="230">
      <c r="A230" s="7" t="n">
        <v>226</v>
      </c>
      <c r="B230" s="7" t="inlineStr">
        <is>
          <t>008 L2/3 IT ENT Glut</t>
        </is>
      </c>
      <c r="C230" s="7" t="inlineStr">
        <is>
          <t>01 IT-ET Glut</t>
        </is>
      </c>
      <c r="D230" s="7" t="inlineStr">
        <is>
          <t>Glut</t>
        </is>
      </c>
      <c r="E230" s="13" t="n">
        <v>2840</v>
      </c>
      <c r="F230" s="8" t="n">
        <v>3.101796407042253</v>
      </c>
      <c r="G230" s="14" t="n">
        <v>0.6496478873239436</v>
      </c>
      <c r="H230" s="7" t="n">
        <v>4</v>
      </c>
    </row>
    <row r="231">
      <c r="A231" s="7" t="n">
        <v>227</v>
      </c>
      <c r="B231" s="7" t="inlineStr">
        <is>
          <t>083 CEA-BST Rai14 Pdyn Crh Gaba</t>
        </is>
      </c>
      <c r="C231" s="7" t="inlineStr">
        <is>
          <t>11 CNU-HYa GABA</t>
        </is>
      </c>
      <c r="D231" s="7" t="inlineStr">
        <is>
          <t>GABA</t>
        </is>
      </c>
      <c r="E231" s="13" t="n">
        <v>537</v>
      </c>
      <c r="F231" s="8" t="n">
        <v>3.089142017504656</v>
      </c>
      <c r="G231" s="14" t="n">
        <v>0.5363128491620112</v>
      </c>
      <c r="H231" s="7" t="n">
        <v>5</v>
      </c>
    </row>
    <row r="232">
      <c r="A232" s="7" t="n">
        <v>228</v>
      </c>
      <c r="B232" s="7" t="inlineStr">
        <is>
          <t>036 HPF CR Glut</t>
        </is>
      </c>
      <c r="C232" s="7" t="inlineStr">
        <is>
          <t>03 OB-CR Glut</t>
        </is>
      </c>
      <c r="D232" s="7" t="inlineStr">
        <is>
          <t>Glut</t>
        </is>
      </c>
      <c r="E232" s="13" t="n">
        <v>1624</v>
      </c>
      <c r="F232" s="8" t="n">
        <v>3.039610869150246</v>
      </c>
      <c r="G232" s="14" t="n">
        <v>0.4193349753694581</v>
      </c>
      <c r="H232" s="7" t="n">
        <v>10</v>
      </c>
    </row>
    <row r="233">
      <c r="A233" s="7" t="n">
        <v>229</v>
      </c>
      <c r="B233" s="7" t="inlineStr">
        <is>
          <t>321 Astroependymal NN</t>
        </is>
      </c>
      <c r="C233" s="7" t="inlineStr">
        <is>
          <t>30 Astro-Epen</t>
        </is>
      </c>
      <c r="D233" s="7" t="n"/>
      <c r="E233" s="13" t="n">
        <v>1174</v>
      </c>
      <c r="F233" s="8" t="n">
        <v>3.025557818279387</v>
      </c>
      <c r="G233" s="14" t="n">
        <v>0.403747870528109</v>
      </c>
      <c r="H233" s="7" t="n">
        <v>11</v>
      </c>
    </row>
    <row r="234">
      <c r="A234" s="7" t="n">
        <v>230</v>
      </c>
      <c r="B234" s="7" t="inlineStr">
        <is>
          <t>114 COAa-PAA-MEA Barhl2 Glut</t>
        </is>
      </c>
      <c r="C234" s="7" t="inlineStr">
        <is>
          <t>13 CNU-HYa Glut</t>
        </is>
      </c>
      <c r="D234" s="7" t="inlineStr">
        <is>
          <t>Glut</t>
        </is>
      </c>
      <c r="E234" s="13" t="n">
        <v>4682</v>
      </c>
      <c r="F234" s="8" t="n">
        <v>3.021389532635626</v>
      </c>
      <c r="G234" s="14" t="n">
        <v>0.5435711234515165</v>
      </c>
      <c r="H234" s="7" t="n">
        <v>8</v>
      </c>
    </row>
    <row r="235">
      <c r="A235" s="7" t="n">
        <v>231</v>
      </c>
      <c r="B235" s="7" t="inlineStr">
        <is>
          <t>012 MEA Slc17a7 Glut</t>
        </is>
      </c>
      <c r="C235" s="7" t="inlineStr">
        <is>
          <t>01 IT-ET Glut</t>
        </is>
      </c>
      <c r="D235" s="7" t="inlineStr">
        <is>
          <t>Glut</t>
        </is>
      </c>
      <c r="E235" s="13" t="n">
        <v>5327</v>
      </c>
      <c r="F235" s="8" t="n">
        <v>3.021223289787873</v>
      </c>
      <c r="G235" s="14" t="n">
        <v>0.5507790501220199</v>
      </c>
      <c r="H235" s="7" t="n">
        <v>6</v>
      </c>
    </row>
    <row r="236">
      <c r="A236" s="7" t="n">
        <v>232</v>
      </c>
      <c r="B236" s="7" t="inlineStr">
        <is>
          <t>066 NDB-SI-ant Prdm12 Gaba</t>
        </is>
      </c>
      <c r="C236" s="7" t="inlineStr">
        <is>
          <t>11 CNU-HYa GABA</t>
        </is>
      </c>
      <c r="D236" s="7" t="inlineStr">
        <is>
          <t>GABA</t>
        </is>
      </c>
      <c r="E236" s="13" t="n">
        <v>1677</v>
      </c>
      <c r="F236" s="8" t="n">
        <v>3.019749147584973</v>
      </c>
      <c r="G236" s="14" t="n">
        <v>0.5307096004770423</v>
      </c>
      <c r="H236" s="7" t="n">
        <v>6</v>
      </c>
    </row>
    <row r="237">
      <c r="A237" s="7" t="n">
        <v>233</v>
      </c>
      <c r="B237" s="7" t="inlineStr">
        <is>
          <t>073 MEA-BST Sox6 Gaba</t>
        </is>
      </c>
      <c r="C237" s="7" t="inlineStr">
        <is>
          <t>11 CNU-HYa GABA</t>
        </is>
      </c>
      <c r="D237" s="7" t="inlineStr">
        <is>
          <t>GABA</t>
        </is>
      </c>
      <c r="E237" s="13" t="n">
        <v>10279</v>
      </c>
      <c r="F237" s="8" t="n">
        <v>2.973518380474754</v>
      </c>
      <c r="G237" s="14" t="n">
        <v>0.5070532152933165</v>
      </c>
      <c r="H237" s="7" t="n">
        <v>7</v>
      </c>
    </row>
    <row r="238">
      <c r="A238" s="7" t="n">
        <v>234</v>
      </c>
      <c r="B238" s="7" t="inlineStr">
        <is>
          <t>064 STR-PAL Chst9 Gaba</t>
        </is>
      </c>
      <c r="C238" s="7" t="inlineStr">
        <is>
          <t>09 CNU-LGE GABA</t>
        </is>
      </c>
      <c r="D238" s="7" t="inlineStr">
        <is>
          <t>GABA</t>
        </is>
      </c>
      <c r="E238" s="13" t="n">
        <v>14431</v>
      </c>
      <c r="F238" s="8" t="n">
        <v>2.961829238167833</v>
      </c>
      <c r="G238" s="14" t="n">
        <v>0.4667036241424711</v>
      </c>
      <c r="H238" s="7" t="n">
        <v>9</v>
      </c>
    </row>
    <row r="239">
      <c r="A239" s="7" t="n">
        <v>235</v>
      </c>
      <c r="B239" s="7" t="inlineStr">
        <is>
          <t>081 ACB-BST-FS D1 Gaba</t>
        </is>
      </c>
      <c r="C239" s="7" t="inlineStr">
        <is>
          <t>11 CNU-HYa GABA</t>
        </is>
      </c>
      <c r="D239" s="7" t="inlineStr">
        <is>
          <t>GABA</t>
        </is>
      </c>
      <c r="E239" s="13" t="n">
        <v>2202</v>
      </c>
      <c r="F239" s="8" t="n">
        <v>2.95636765808356</v>
      </c>
      <c r="G239" s="14" t="n">
        <v>0.5059037238873751</v>
      </c>
      <c r="H239" s="7" t="n">
        <v>5</v>
      </c>
    </row>
    <row r="240">
      <c r="A240" s="7" t="n">
        <v>236</v>
      </c>
      <c r="B240" s="7" t="inlineStr">
        <is>
          <t>044 OB Dopa-Gaba</t>
        </is>
      </c>
      <c r="C240" s="7" t="inlineStr">
        <is>
          <t>05 OB-IMN GABA</t>
        </is>
      </c>
      <c r="D240" s="7" t="inlineStr">
        <is>
          <t>Dopa</t>
        </is>
      </c>
      <c r="E240" s="13" t="n">
        <v>1976</v>
      </c>
      <c r="F240" s="8" t="n">
        <v>2.953504173987854</v>
      </c>
      <c r="G240" s="14" t="n">
        <v>0.4701417004048583</v>
      </c>
      <c r="H240" s="7" t="n">
        <v>5</v>
      </c>
    </row>
    <row r="241">
      <c r="A241" s="7" t="n">
        <v>237</v>
      </c>
      <c r="B241" s="7" t="inlineStr">
        <is>
          <t>070 LSX Prdm12 Slit2 Gaba</t>
        </is>
      </c>
      <c r="C241" s="7" t="inlineStr">
        <is>
          <t>10 LSX GABA</t>
        </is>
      </c>
      <c r="D241" s="7" t="inlineStr">
        <is>
          <t>GABA</t>
        </is>
      </c>
      <c r="E241" s="13" t="n">
        <v>7810</v>
      </c>
      <c r="F241" s="8" t="n">
        <v>2.917082774263764</v>
      </c>
      <c r="G241" s="14" t="n">
        <v>0.5076824583866837</v>
      </c>
      <c r="H241" s="7" t="n">
        <v>5</v>
      </c>
    </row>
    <row r="242">
      <c r="A242" s="7" t="n">
        <v>238</v>
      </c>
      <c r="B242" s="7" t="inlineStr">
        <is>
          <t>062 STR D2 Gaba</t>
        </is>
      </c>
      <c r="C242" s="7" t="inlineStr">
        <is>
          <t>09 CNU-LGE GABA</t>
        </is>
      </c>
      <c r="D242" s="7" t="inlineStr">
        <is>
          <t>GABA</t>
        </is>
      </c>
      <c r="E242" s="13" t="n">
        <v>36320</v>
      </c>
      <c r="F242" s="8" t="n">
        <v>2.882052247948789</v>
      </c>
      <c r="G242" s="14" t="n">
        <v>0.4995319383259912</v>
      </c>
      <c r="H242" s="7" t="n">
        <v>8</v>
      </c>
    </row>
    <row r="243">
      <c r="A243" s="7" t="n">
        <v>239</v>
      </c>
      <c r="B243" s="7" t="inlineStr">
        <is>
          <t>002 IT EP-CLA Glut</t>
        </is>
      </c>
      <c r="C243" s="7" t="inlineStr">
        <is>
          <t>01 IT-ET Glut</t>
        </is>
      </c>
      <c r="D243" s="7" t="inlineStr">
        <is>
          <t>Glut</t>
        </is>
      </c>
      <c r="E243" s="13" t="n">
        <v>9491</v>
      </c>
      <c r="F243" s="8" t="n">
        <v>2.878147945664314</v>
      </c>
      <c r="G243" s="14" t="n">
        <v>0.5537877989674428</v>
      </c>
      <c r="H243" s="7" t="n">
        <v>8</v>
      </c>
    </row>
    <row r="244">
      <c r="A244" s="7" t="n">
        <v>240</v>
      </c>
      <c r="B244" s="7" t="inlineStr">
        <is>
          <t>331 Peri NN</t>
        </is>
      </c>
      <c r="C244" s="7" t="inlineStr">
        <is>
          <t>33 Vascular</t>
        </is>
      </c>
      <c r="D244" s="7" t="n"/>
      <c r="E244" s="13" t="n">
        <v>23170</v>
      </c>
      <c r="F244" s="8" t="n">
        <v>2.85009551456625</v>
      </c>
      <c r="G244" s="14" t="n">
        <v>0.3519205869659041</v>
      </c>
      <c r="H244" s="7" t="n">
        <v>13</v>
      </c>
    </row>
    <row r="245">
      <c r="A245" s="7" t="n">
        <v>241</v>
      </c>
      <c r="B245" s="7" t="inlineStr">
        <is>
          <t>065 IA Mgp Gaba</t>
        </is>
      </c>
      <c r="C245" s="7" t="inlineStr">
        <is>
          <t>09 CNU-LGE GABA</t>
        </is>
      </c>
      <c r="D245" s="7" t="inlineStr">
        <is>
          <t>GABA</t>
        </is>
      </c>
      <c r="E245" s="13" t="n">
        <v>1081</v>
      </c>
      <c r="F245" s="8" t="n">
        <v>2.8474310839963</v>
      </c>
      <c r="G245" s="14" t="n">
        <v>0.4921369102682701</v>
      </c>
      <c r="H245" s="7" t="n">
        <v>6</v>
      </c>
    </row>
    <row r="246">
      <c r="A246" s="7" t="n">
        <v>242</v>
      </c>
      <c r="B246" s="7" t="inlineStr">
        <is>
          <t>068 LSX Otx2 Gaba</t>
        </is>
      </c>
      <c r="C246" s="7" t="inlineStr">
        <is>
          <t>10 LSX GABA</t>
        </is>
      </c>
      <c r="D246" s="7" t="inlineStr">
        <is>
          <t>GABA</t>
        </is>
      </c>
      <c r="E246" s="13" t="n">
        <v>4339</v>
      </c>
      <c r="F246" s="8" t="n">
        <v>2.820172443558423</v>
      </c>
      <c r="G246" s="14" t="n">
        <v>0.460244295920719</v>
      </c>
      <c r="H246" s="7" t="n">
        <v>3</v>
      </c>
    </row>
    <row r="247">
      <c r="A247" s="7" t="n">
        <v>243</v>
      </c>
      <c r="B247" s="7" t="inlineStr">
        <is>
          <t>312 CBX MLI Cdh22 Gaba</t>
        </is>
      </c>
      <c r="C247" s="7" t="inlineStr">
        <is>
          <t>28 CB GABA</t>
        </is>
      </c>
      <c r="D247" s="7" t="inlineStr">
        <is>
          <t>GABA</t>
        </is>
      </c>
      <c r="E247" s="13" t="n">
        <v>13098</v>
      </c>
      <c r="F247" s="8" t="n">
        <v>2.766941243579172</v>
      </c>
      <c r="G247" s="14" t="n">
        <v>0.4253321117727897</v>
      </c>
      <c r="H247" s="7" t="n">
        <v>4</v>
      </c>
    </row>
    <row r="248">
      <c r="A248" s="7" t="n">
        <v>244</v>
      </c>
      <c r="B248" s="7" t="inlineStr">
        <is>
          <t>021 L4 RSP-ACA Glut</t>
        </is>
      </c>
      <c r="C248" s="7" t="inlineStr">
        <is>
          <t>01 IT-ET Glut</t>
        </is>
      </c>
      <c r="D248" s="7" t="inlineStr">
        <is>
          <t>Glut</t>
        </is>
      </c>
      <c r="E248" s="13" t="n">
        <v>1563</v>
      </c>
      <c r="F248" s="8" t="n">
        <v>2.689862134357006</v>
      </c>
      <c r="G248" s="14" t="n">
        <v>0.5630198336532309</v>
      </c>
      <c r="H248" s="7" t="n">
        <v>3</v>
      </c>
    </row>
    <row r="249">
      <c r="A249" s="7" t="n">
        <v>245</v>
      </c>
      <c r="B249" s="7" t="inlineStr">
        <is>
          <t>049 Lamp5 Gaba</t>
        </is>
      </c>
      <c r="C249" s="7" t="inlineStr">
        <is>
          <t>06 CTX-CGE GABA</t>
        </is>
      </c>
      <c r="D249" s="7" t="inlineStr">
        <is>
          <t>GABA</t>
        </is>
      </c>
      <c r="E249" s="13" t="n">
        <v>14101</v>
      </c>
      <c r="F249" s="8" t="n">
        <v>2.675814102957237</v>
      </c>
      <c r="G249" s="14" t="n">
        <v>0.4682646620807035</v>
      </c>
      <c r="H249" s="7" t="n">
        <v>11</v>
      </c>
    </row>
    <row r="250">
      <c r="A250" s="7" t="n">
        <v>246</v>
      </c>
      <c r="B250" s="7" t="inlineStr">
        <is>
          <t>006 L4/5 IT CTX Glut</t>
        </is>
      </c>
      <c r="C250" s="7" t="inlineStr">
        <is>
          <t>01 IT-ET Glut</t>
        </is>
      </c>
      <c r="D250" s="7" t="inlineStr">
        <is>
          <t>Glut</t>
        </is>
      </c>
      <c r="E250" s="13" t="n">
        <v>83060</v>
      </c>
      <c r="F250" s="8" t="n">
        <v>2.661670347065976</v>
      </c>
      <c r="G250" s="14" t="n">
        <v>0.4742114134360703</v>
      </c>
      <c r="H250" s="7" t="n">
        <v>5</v>
      </c>
    </row>
    <row r="251">
      <c r="A251" s="7" t="n">
        <v>247</v>
      </c>
      <c r="B251" s="7" t="inlineStr">
        <is>
          <t>050 Lamp5 Lhx6 Gaba</t>
        </is>
      </c>
      <c r="C251" s="7" t="inlineStr">
        <is>
          <t>07 CTX-MGE GABA</t>
        </is>
      </c>
      <c r="D251" s="7" t="inlineStr">
        <is>
          <t>GABA</t>
        </is>
      </c>
      <c r="E251" s="13" t="n">
        <v>3440</v>
      </c>
      <c r="F251" s="8" t="n">
        <v>2.637887452093024</v>
      </c>
      <c r="G251" s="14" t="n">
        <v>0.4799418604651163</v>
      </c>
      <c r="H251" s="7" t="n">
        <v>9</v>
      </c>
    </row>
    <row r="252">
      <c r="A252" s="7" t="n">
        <v>248</v>
      </c>
      <c r="B252" s="7" t="inlineStr">
        <is>
          <t>001 CLA-EPd-CTX Car3 Glut</t>
        </is>
      </c>
      <c r="C252" s="7" t="inlineStr">
        <is>
          <t>01 IT-ET Glut</t>
        </is>
      </c>
      <c r="D252" s="7" t="inlineStr">
        <is>
          <t>Glut</t>
        </is>
      </c>
      <c r="E252" s="13" t="n">
        <v>2320</v>
      </c>
      <c r="F252" s="8" t="n">
        <v>2.608982849741379</v>
      </c>
      <c r="G252" s="14" t="n">
        <v>0.4870689655172414</v>
      </c>
      <c r="H252" s="7" t="n">
        <v>6</v>
      </c>
    </row>
    <row r="253">
      <c r="A253" s="7" t="n">
        <v>249</v>
      </c>
      <c r="B253" s="7" t="inlineStr">
        <is>
          <t>009 L2/3 IT PIR-ENTl Glut</t>
        </is>
      </c>
      <c r="C253" s="7" t="inlineStr">
        <is>
          <t>01 IT-ET Glut</t>
        </is>
      </c>
      <c r="D253" s="7" t="inlineStr">
        <is>
          <t>Glut</t>
        </is>
      </c>
      <c r="E253" s="13" t="n">
        <v>10331</v>
      </c>
      <c r="F253" s="8" t="n">
        <v>2.608701013319137</v>
      </c>
      <c r="G253" s="14" t="n">
        <v>0.494434227083535</v>
      </c>
      <c r="H253" s="7" t="n">
        <v>7</v>
      </c>
    </row>
    <row r="254">
      <c r="A254" s="7" t="n">
        <v>250</v>
      </c>
      <c r="B254" s="7" t="inlineStr">
        <is>
          <t>004 L6 IT CTX Glut</t>
        </is>
      </c>
      <c r="C254" s="7" t="inlineStr">
        <is>
          <t>01 IT-ET Glut</t>
        </is>
      </c>
      <c r="D254" s="7" t="inlineStr">
        <is>
          <t>Glut</t>
        </is>
      </c>
      <c r="E254" s="13" t="n">
        <v>24710</v>
      </c>
      <c r="F254" s="8" t="n">
        <v>2.587986873302307</v>
      </c>
      <c r="G254" s="14" t="n">
        <v>0.478470254957507</v>
      </c>
      <c r="H254" s="7" t="n">
        <v>8</v>
      </c>
    </row>
    <row r="255">
      <c r="A255" s="7" t="n">
        <v>251</v>
      </c>
      <c r="B255" s="7" t="inlineStr">
        <is>
          <t>071 LSX Prdm12 Zeb2 Gaba</t>
        </is>
      </c>
      <c r="C255" s="7" t="inlineStr">
        <is>
          <t>10 LSX GABA</t>
        </is>
      </c>
      <c r="D255" s="7" t="inlineStr">
        <is>
          <t>GABA</t>
        </is>
      </c>
      <c r="E255" s="13" t="n">
        <v>6585</v>
      </c>
      <c r="F255" s="8" t="n">
        <v>2.556578436142749</v>
      </c>
      <c r="G255" s="14" t="n">
        <v>0.455125284738041</v>
      </c>
      <c r="H255" s="7" t="n">
        <v>3</v>
      </c>
    </row>
    <row r="256">
      <c r="A256" s="7" t="n">
        <v>252</v>
      </c>
      <c r="B256" s="7" t="inlineStr">
        <is>
          <t>013 COAp Grxcr2 Glut</t>
        </is>
      </c>
      <c r="C256" s="7" t="inlineStr">
        <is>
          <t>01 IT-ET Glut</t>
        </is>
      </c>
      <c r="D256" s="7" t="inlineStr">
        <is>
          <t>Glut</t>
        </is>
      </c>
      <c r="E256" s="13" t="n">
        <v>682</v>
      </c>
      <c r="F256" s="8" t="n">
        <v>2.554698430058651</v>
      </c>
      <c r="G256" s="14" t="n">
        <v>0.4662756598240469</v>
      </c>
      <c r="H256" s="7" t="n">
        <v>4</v>
      </c>
    </row>
    <row r="257">
      <c r="A257" s="7" t="n">
        <v>253</v>
      </c>
      <c r="B257" s="7" t="inlineStr">
        <is>
          <t>048 RHP-COA Ndnf Gaba</t>
        </is>
      </c>
      <c r="C257" s="7" t="inlineStr">
        <is>
          <t>06 CTX-CGE GABA</t>
        </is>
      </c>
      <c r="D257" s="7" t="inlineStr">
        <is>
          <t>GABA</t>
        </is>
      </c>
      <c r="E257" s="13" t="n">
        <v>1704</v>
      </c>
      <c r="F257" s="8" t="n">
        <v>2.544456881161972</v>
      </c>
      <c r="G257" s="14" t="n">
        <v>0.4964788732394365</v>
      </c>
      <c r="H257" s="7" t="n">
        <v>8</v>
      </c>
    </row>
    <row r="258">
      <c r="A258" s="7" t="n">
        <v>254</v>
      </c>
      <c r="B258" s="7" t="inlineStr">
        <is>
          <t>037 DG Glut</t>
        </is>
      </c>
      <c r="C258" s="7" t="inlineStr">
        <is>
          <t>04 DG-IMN Glut</t>
        </is>
      </c>
      <c r="D258" s="7" t="inlineStr">
        <is>
          <t>Glut</t>
        </is>
      </c>
      <c r="E258" s="13" t="n">
        <v>14294</v>
      </c>
      <c r="F258" s="8" t="n">
        <v>2.531913066489436</v>
      </c>
      <c r="G258" s="14" t="n">
        <v>0.4352875332307261</v>
      </c>
      <c r="H258" s="7" t="n">
        <v>7</v>
      </c>
    </row>
    <row r="259">
      <c r="A259" s="7" t="n">
        <v>255</v>
      </c>
      <c r="B259" s="7" t="inlineStr">
        <is>
          <t>007 L2/3 IT CTX Glut</t>
        </is>
      </c>
      <c r="C259" s="7" t="inlineStr">
        <is>
          <t>01 IT-ET Glut</t>
        </is>
      </c>
      <c r="D259" s="7" t="inlineStr">
        <is>
          <t>Glut</t>
        </is>
      </c>
      <c r="E259" s="13" t="n">
        <v>49319</v>
      </c>
      <c r="F259" s="8" t="n">
        <v>2.489708781867029</v>
      </c>
      <c r="G259" s="14" t="n">
        <v>0.4662706056489385</v>
      </c>
      <c r="H259" s="7" t="n">
        <v>7</v>
      </c>
    </row>
    <row r="260">
      <c r="A260" s="7" t="n">
        <v>256</v>
      </c>
      <c r="B260" s="7" t="inlineStr">
        <is>
          <t>038 DG-PIR Ex IMN</t>
        </is>
      </c>
      <c r="C260" s="7" t="inlineStr">
        <is>
          <t>04 DG-IMN Glut</t>
        </is>
      </c>
      <c r="D260" s="7" t="inlineStr">
        <is>
          <t>Glut</t>
        </is>
      </c>
      <c r="E260" s="13" t="n">
        <v>1832</v>
      </c>
      <c r="F260" s="8" t="n">
        <v>2.360804431823144</v>
      </c>
      <c r="G260" s="14" t="n">
        <v>0.3367903930131004</v>
      </c>
      <c r="H260" s="7" t="n">
        <v>9</v>
      </c>
    </row>
    <row r="261">
      <c r="A261" s="7" t="n">
        <v>257</v>
      </c>
      <c r="B261" s="7" t="inlineStr">
        <is>
          <t>072 LSX Sall3 Lmo1 Gaba</t>
        </is>
      </c>
      <c r="C261" s="7" t="inlineStr">
        <is>
          <t>10 LSX GABA</t>
        </is>
      </c>
      <c r="D261" s="7" t="inlineStr">
        <is>
          <t>GABA</t>
        </is>
      </c>
      <c r="E261" s="13" t="n">
        <v>2509</v>
      </c>
      <c r="F261" s="8" t="n">
        <v>2.292973779075329</v>
      </c>
      <c r="G261" s="14" t="n">
        <v>0.3882024711040255</v>
      </c>
      <c r="H261" s="7" t="n">
        <v>3</v>
      </c>
    </row>
    <row r="262">
      <c r="A262" s="7" t="n">
        <v>258</v>
      </c>
      <c r="B262" s="7" t="inlineStr">
        <is>
          <t>046 Vip Gaba</t>
        </is>
      </c>
      <c r="C262" s="7" t="inlineStr">
        <is>
          <t>06 CTX-CGE GABA</t>
        </is>
      </c>
      <c r="D262" s="7" t="inlineStr">
        <is>
          <t>GABA</t>
        </is>
      </c>
      <c r="E262" s="13" t="n">
        <v>16700</v>
      </c>
      <c r="F262" s="8" t="n">
        <v>2.217751568167665</v>
      </c>
      <c r="G262" s="14" t="n">
        <v>0.3680239520958083</v>
      </c>
      <c r="H262" s="7" t="n">
        <v>10</v>
      </c>
    </row>
    <row r="263">
      <c r="A263" s="7" t="n">
        <v>259</v>
      </c>
      <c r="B263" s="7" t="inlineStr">
        <is>
          <t>039 OB Meis2 Thsd7b Gaba</t>
        </is>
      </c>
      <c r="C263" s="7" t="inlineStr">
        <is>
          <t>05 OB-IMN GABA</t>
        </is>
      </c>
      <c r="D263" s="7" t="inlineStr">
        <is>
          <t>GABA</t>
        </is>
      </c>
      <c r="E263" s="13" t="n">
        <v>1500</v>
      </c>
      <c r="F263" s="8" t="n">
        <v>2.2115512836</v>
      </c>
      <c r="G263" s="14" t="n">
        <v>0.322</v>
      </c>
      <c r="H263" s="7" t="n">
        <v>5</v>
      </c>
    </row>
    <row r="264">
      <c r="A264" s="7" t="n">
        <v>260</v>
      </c>
      <c r="B264" s="7" t="inlineStr">
        <is>
          <t>067 LSX Sall3 Pax6 Gaba</t>
        </is>
      </c>
      <c r="C264" s="7" t="inlineStr">
        <is>
          <t>10 LSX GABA</t>
        </is>
      </c>
      <c r="D264" s="7" t="inlineStr">
        <is>
          <t>GABA</t>
        </is>
      </c>
      <c r="E264" s="13" t="n">
        <v>1100</v>
      </c>
      <c r="F264" s="8" t="n">
        <v>2.148091536363636</v>
      </c>
      <c r="G264" s="14" t="n">
        <v>0.3518181818181818</v>
      </c>
      <c r="H264" s="7" t="n">
        <v>3</v>
      </c>
    </row>
    <row r="265">
      <c r="A265" s="7" t="n">
        <v>261</v>
      </c>
      <c r="B265" s="7" t="inlineStr">
        <is>
          <t>047 Sncg Gaba</t>
        </is>
      </c>
      <c r="C265" s="7" t="inlineStr">
        <is>
          <t>06 CTX-CGE GABA</t>
        </is>
      </c>
      <c r="D265" s="7" t="inlineStr">
        <is>
          <t>GABA</t>
        </is>
      </c>
      <c r="E265" s="13" t="n">
        <v>4595</v>
      </c>
      <c r="F265" s="8" t="n">
        <v>1.978274600239391</v>
      </c>
      <c r="G265" s="14" t="n">
        <v>0.3862894450489662</v>
      </c>
      <c r="H265" s="7" t="n">
        <v>10</v>
      </c>
    </row>
    <row r="266">
      <c r="A266" s="7" t="n">
        <v>262</v>
      </c>
      <c r="B266" s="7" t="inlineStr">
        <is>
          <t>041 OB-in Frmd7 Gaba</t>
        </is>
      </c>
      <c r="C266" s="7" t="inlineStr">
        <is>
          <t>05 OB-IMN GABA</t>
        </is>
      </c>
      <c r="D266" s="7" t="inlineStr">
        <is>
          <t>GABA</t>
        </is>
      </c>
      <c r="E266" s="13" t="n">
        <v>33543</v>
      </c>
      <c r="F266" s="8" t="n">
        <v>1.267535100730406</v>
      </c>
      <c r="G266" s="14" t="n">
        <v>0.1935426169394508</v>
      </c>
      <c r="H266" s="7" t="n">
        <v>9</v>
      </c>
    </row>
    <row r="267">
      <c r="A267" s="7" t="n">
        <v>263</v>
      </c>
      <c r="B267" s="7" t="inlineStr">
        <is>
          <t>045 OB-STR-CTX Inh IMN</t>
        </is>
      </c>
      <c r="C267" s="7" t="inlineStr">
        <is>
          <t>05 OB-IMN GABA</t>
        </is>
      </c>
      <c r="D267" s="7" t="n"/>
      <c r="E267" s="13" t="n">
        <v>7857</v>
      </c>
      <c r="F267" s="8" t="n">
        <v>1.203411173657884</v>
      </c>
      <c r="G267" s="14" t="n">
        <v>0.1743668066692121</v>
      </c>
      <c r="H267" s="7" t="n">
        <v>10</v>
      </c>
    </row>
    <row r="268">
      <c r="A268" s="7" t="n">
        <v>264</v>
      </c>
      <c r="B268" s="7" t="inlineStr">
        <is>
          <t>042 OB-out Frmd7 Gaba</t>
        </is>
      </c>
      <c r="C268" s="7" t="inlineStr">
        <is>
          <t>05 OB-IMN GABA</t>
        </is>
      </c>
      <c r="D268" s="7" t="inlineStr">
        <is>
          <t>GABA</t>
        </is>
      </c>
      <c r="E268" s="13" t="n">
        <v>4566</v>
      </c>
      <c r="F268" s="8" t="n">
        <v>0.7941136664323259</v>
      </c>
      <c r="G268" s="14" t="n">
        <v>0.1127901883486639</v>
      </c>
      <c r="H268" s="7" t="n">
        <v>6</v>
      </c>
    </row>
    <row r="269">
      <c r="A269" s="7" t="n">
        <v>265</v>
      </c>
      <c r="B269" s="7" t="inlineStr">
        <is>
          <t>040 OB Trdn Gaba</t>
        </is>
      </c>
      <c r="C269" s="7" t="inlineStr">
        <is>
          <t>05 OB-IMN GABA</t>
        </is>
      </c>
      <c r="D269" s="7" t="inlineStr">
        <is>
          <t>GABA</t>
        </is>
      </c>
      <c r="E269" s="13" t="n">
        <v>2243</v>
      </c>
      <c r="F269" s="8" t="n">
        <v>0.656512470708872</v>
      </c>
      <c r="G269" s="14" t="n">
        <v>0.09451627284886301</v>
      </c>
      <c r="H269" s="7" t="n">
        <v>5</v>
      </c>
    </row>
    <row r="271">
      <c r="A271" s="3" t="inlineStr">
        <is>
          <t>Notlar</t>
        </is>
      </c>
    </row>
    <row r="272">
      <c r="A272" s="12" t="inlineStr">
        <is>
          <t>- Ilk iki satir yesil: olgun oligodendrosit ve onculu. Ucuncu sirada medial habenulanin kolinerjik Tac2 noronlari var ama sadece 4.662 hucre.</t>
        </is>
      </c>
    </row>
    <row r="273">
      <c r="A273" s="12" t="inlineStr">
        <is>
          <t>- DIKKAT: Ortalama sutunu sifirlari da iceriyor, cunku tespit edilmeyen hucre log2(CPM+1) olceginde tam olarak 0 verir. Bu yuzden iki ortalamanin farkindan kat degisim OKUNAMAZ.</t>
        </is>
      </c>
    </row>
    <row r="274">
      <c r="A274" s="12" t="inlineStr">
        <is>
          <t>- Astrosit, mikroglia ve endotel 3,7 ile 3,9 arasinda gorunuyor ama bunun buyuk kismi dusuk tespit orani. Ayrinti icin Tespit vs Seviye sayfasina bakin.</t>
        </is>
      </c>
    </row>
    <row r="275">
      <c r="A275" s="12" t="inlineStr">
        <is>
          <t>- En dusuk degerler olfaktor bulbusun inhibitor internoronlarinda.</t>
        </is>
      </c>
    </row>
    <row r="276">
      <c r="A276" s="12" t="inlineStr">
        <is>
          <t>- Ortancalar parca ortancalarindan havuzlanamaz, bu yuzden siralama ortalama uzerinden. Hucreler havuzlanmis, donor duzeyi duzeltmesi yok, siralama betimseldir.</t>
        </is>
      </c>
    </row>
  </sheetData>
  <autoFilter ref="A4:H269"/>
  <mergeCells count="7">
    <mergeCell ref="A276:H276"/>
    <mergeCell ref="A272:H272"/>
    <mergeCell ref="A275:H275"/>
    <mergeCell ref="A2:H2"/>
    <mergeCell ref="A274:H274"/>
    <mergeCell ref="A1:H1"/>
    <mergeCell ref="A273:H27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8" customWidth="1" min="4" max="4"/>
    <col width="17" customWidth="1" min="5" max="5"/>
    <col width="14" customWidth="1" min="6" max="6"/>
  </cols>
  <sheetData>
    <row r="1">
      <c r="A1" s="1" t="inlineStr">
        <is>
          <t>Bolgesel heterojenlik: OPC ve oligodendrosit</t>
        </is>
      </c>
    </row>
    <row r="2">
      <c r="A2" s="2" t="inlineStr">
        <is>
          <t>Referans atlasin 13 parcasi. Olgun hucre her parcada onculun uzerinde.</t>
        </is>
      </c>
    </row>
    <row r="4">
      <c r="A4" s="6" t="inlineStr">
        <is>
          <t>Parca</t>
        </is>
      </c>
      <c r="B4" s="6" t="inlineStr">
        <is>
          <t>OPC ortalama</t>
        </is>
      </c>
      <c r="C4" s="6" t="inlineStr">
        <is>
          <t>Oligo ortalama</t>
        </is>
      </c>
      <c r="D4" s="6" t="inlineStr">
        <is>
          <t>OPC ifade oran</t>
        </is>
      </c>
      <c r="E4" s="6" t="inlineStr">
        <is>
          <t>Oligo ifade oran</t>
        </is>
      </c>
      <c r="F4" s="6" t="inlineStr">
        <is>
          <t>Oligo - OPC</t>
        </is>
      </c>
    </row>
    <row r="5">
      <c r="A5" s="7" t="inlineStr">
        <is>
          <t>HPF</t>
        </is>
      </c>
      <c r="B5" s="8" t="n">
        <v>7.382030965821408</v>
      </c>
      <c r="C5" s="8" t="n">
        <v>7.893821003975312</v>
      </c>
      <c r="D5" s="14" t="n">
        <v>0.914218763076408</v>
      </c>
      <c r="E5" s="14" t="n">
        <v>0.934430581364481</v>
      </c>
      <c r="F5" s="9">
        <f>C5-B5</f>
        <v>0.5117900381539036</v>
      </c>
    </row>
    <row r="6">
      <c r="A6" s="7" t="inlineStr">
        <is>
          <t>Isocortex-1</t>
        </is>
      </c>
      <c r="B6" s="8" t="n">
        <v>7.340097694326241</v>
      </c>
      <c r="C6" s="8" t="n">
        <v>7.545079194591937</v>
      </c>
      <c r="D6" s="14" t="n">
        <v>0.8973717146433041</v>
      </c>
      <c r="E6" s="14" t="n">
        <v>0.902409046214356</v>
      </c>
      <c r="F6" s="9">
        <f>C6-B6</f>
        <v>0.20498150026569562</v>
      </c>
    </row>
    <row r="7">
      <c r="A7" s="7" t="inlineStr">
        <is>
          <t>Isocortex-2</t>
        </is>
      </c>
      <c r="B7" s="8" t="n">
        <v>7.333758118274734</v>
      </c>
      <c r="C7" s="8" t="n">
        <v>7.94648454471572</v>
      </c>
      <c r="D7" s="14" t="n">
        <v>0.8956118833469611</v>
      </c>
      <c r="E7" s="14" t="n">
        <v>0.927637937555154</v>
      </c>
      <c r="F7" s="9">
        <f>C7-B7</f>
        <v>0.6127264264409868</v>
      </c>
    </row>
    <row r="8">
      <c r="A8" s="7" t="inlineStr">
        <is>
          <t>CTXsp</t>
        </is>
      </c>
      <c r="B8" s="8" t="n">
        <v>7.304814283266312</v>
      </c>
      <c r="C8" s="8" t="n">
        <v>7.845153407868265</v>
      </c>
      <c r="D8" s="14" t="n">
        <v>0.9094564794396161</v>
      </c>
      <c r="E8" s="14" t="n">
        <v>0.9341325616645996</v>
      </c>
      <c r="F8" s="9">
        <f>C8-B8</f>
        <v>0.5403391246019531</v>
      </c>
    </row>
    <row r="9">
      <c r="A9" s="7" t="inlineStr">
        <is>
          <t>OLF</t>
        </is>
      </c>
      <c r="B9" s="8" t="n">
        <v>7.205257060149839</v>
      </c>
      <c r="C9" s="8" t="n">
        <v>7.671045113812155</v>
      </c>
      <c r="D9" s="14" t="n">
        <v>0.8797716732072779</v>
      </c>
      <c r="E9" s="14" t="n">
        <v>0.922242684673624</v>
      </c>
      <c r="F9" s="9">
        <f>C9-B9</f>
        <v>0.46578805366231535</v>
      </c>
    </row>
    <row r="10">
      <c r="A10" s="7" t="inlineStr">
        <is>
          <t>STR</t>
        </is>
      </c>
      <c r="B10" s="8" t="n">
        <v>6.990709758841848</v>
      </c>
      <c r="C10" s="8" t="n">
        <v>7.621401727281114</v>
      </c>
      <c r="D10" s="14" t="n">
        <v>0.8669830206865871</v>
      </c>
      <c r="E10" s="14" t="n">
        <v>0.9064028046867793</v>
      </c>
      <c r="F10" s="9">
        <f>C10-B10</f>
        <v>0.6306919684392662</v>
      </c>
    </row>
    <row r="11">
      <c r="A11" s="7" t="inlineStr">
        <is>
          <t>HY</t>
        </is>
      </c>
      <c r="B11" s="8" t="n">
        <v>6.74788675954767</v>
      </c>
      <c r="C11" s="8" t="n">
        <v>7.946407543903154</v>
      </c>
      <c r="D11" s="14" t="n">
        <v>0.8594257854821236</v>
      </c>
      <c r="E11" s="14" t="n">
        <v>0.939379509908062</v>
      </c>
      <c r="F11" s="9">
        <f>C11-B11</f>
        <v>1.198520784355484</v>
      </c>
    </row>
    <row r="12">
      <c r="A12" s="7" t="inlineStr">
        <is>
          <t>MB</t>
        </is>
      </c>
      <c r="B12" s="8" t="n">
        <v>6.415280829782344</v>
      </c>
      <c r="C12" s="8" t="n">
        <v>7.924866840402514</v>
      </c>
      <c r="D12" s="14" t="n">
        <v>0.8233067459780993</v>
      </c>
      <c r="E12" s="14" t="n">
        <v>0.9338962605548854</v>
      </c>
      <c r="F12" s="9">
        <f>C12-B12</f>
        <v>1.5095860106201702</v>
      </c>
    </row>
    <row r="13">
      <c r="A13" s="7" t="inlineStr">
        <is>
          <t>TH</t>
        </is>
      </c>
      <c r="B13" s="8" t="n">
        <v>6.319708257968599</v>
      </c>
      <c r="C13" s="8" t="n">
        <v>7.888318779091632</v>
      </c>
      <c r="D13" s="14" t="n">
        <v>0.8133944699180214</v>
      </c>
      <c r="E13" s="14" t="n">
        <v>0.9374871054260367</v>
      </c>
      <c r="F13" s="9">
        <f>C13-B13</f>
        <v>1.5686105211230332</v>
      </c>
    </row>
    <row r="14">
      <c r="A14" s="7" t="inlineStr">
        <is>
          <t>PAL</t>
        </is>
      </c>
      <c r="B14" s="8" t="n">
        <v>6.259326344696382</v>
      </c>
      <c r="C14" s="8" t="n">
        <v>7.368485617585351</v>
      </c>
      <c r="D14" s="14" t="n">
        <v>0.7869234353160429</v>
      </c>
      <c r="E14" s="14" t="n">
        <v>0.8794931568656941</v>
      </c>
      <c r="F14" s="9">
        <f>C14-B14</f>
        <v>1.1091592728889683</v>
      </c>
    </row>
    <row r="15">
      <c r="A15" s="7" t="inlineStr">
        <is>
          <t>P</t>
        </is>
      </c>
      <c r="B15" s="8" t="n">
        <v>6.197136568039017</v>
      </c>
      <c r="C15" s="8" t="n">
        <v>7.540377059235904</v>
      </c>
      <c r="D15" s="14" t="n">
        <v>0.805548517861667</v>
      </c>
      <c r="E15" s="14" t="n">
        <v>0.9113696704669686</v>
      </c>
      <c r="F15" s="9">
        <f>C15-B15</f>
        <v>1.3432404911968865</v>
      </c>
    </row>
    <row r="16">
      <c r="A16" s="7" t="inlineStr">
        <is>
          <t>CB</t>
        </is>
      </c>
      <c r="B16" s="8" t="n">
        <v>5.951040082617001</v>
      </c>
      <c r="C16" s="8" t="n">
        <v>7.742076409893479</v>
      </c>
      <c r="D16" s="14" t="n">
        <v>0.778414517669532</v>
      </c>
      <c r="E16" s="14" t="n">
        <v>0.9409296320206584</v>
      </c>
      <c r="F16" s="9">
        <f>C16-B16</f>
        <v>1.791036327276478</v>
      </c>
    </row>
    <row r="17">
      <c r="A17" s="7" t="inlineStr">
        <is>
          <t>MY</t>
        </is>
      </c>
      <c r="B17" s="8" t="n">
        <v>5.7860686169066</v>
      </c>
      <c r="C17" s="8" t="n">
        <v>7.738023811576183</v>
      </c>
      <c r="D17" s="14" t="n">
        <v>0.7560750892548659</v>
      </c>
      <c r="E17" s="14" t="n">
        <v>0.932666240862962</v>
      </c>
      <c r="F17" s="9">
        <f>C17-B17</f>
        <v>1.9519551946695834</v>
      </c>
    </row>
    <row r="19">
      <c r="A19" s="3" t="inlineStr">
        <is>
          <t>Yayilim karsilastirmasi</t>
        </is>
      </c>
    </row>
    <row r="20">
      <c r="A20" s="20" t="inlineStr">
        <is>
          <t>Olcut</t>
        </is>
      </c>
      <c r="B20" s="20" t="inlineStr">
        <is>
          <t>OPC</t>
        </is>
      </c>
      <c r="C20" s="20" t="inlineStr">
        <is>
          <t>Oligo</t>
        </is>
      </c>
      <c r="D20" s="20" t="inlineStr">
        <is>
          <t>Oran (OPC/Oligo)</t>
        </is>
      </c>
    </row>
    <row r="21">
      <c r="A21" s="7" t="inlineStr">
        <is>
          <t>En dusuk</t>
        </is>
      </c>
      <c r="B21" s="8">
        <f>MIN(B5:B17)</f>
        <v>5.7860686169066</v>
      </c>
      <c r="C21" s="8">
        <f>MIN(C5:C17)</f>
        <v>7.368485617585351</v>
      </c>
      <c r="D21" s="8">
        <f>IF(C21=0,"",B21/C21)</f>
        <v>0.7852452888145409</v>
      </c>
    </row>
    <row r="22">
      <c r="A22" s="7" t="inlineStr">
        <is>
          <t>En yuksek</t>
        </is>
      </c>
      <c r="B22" s="8">
        <f>MAX(B5:B17)</f>
        <v>7.382030965821408</v>
      </c>
      <c r="C22" s="8">
        <f>MAX(C5:C17)</f>
        <v>7.94648454471572</v>
      </c>
      <c r="D22" s="8">
        <f>IF(C22=0,"",B22/C22)</f>
        <v>0.9289681398462337</v>
      </c>
    </row>
    <row r="23">
      <c r="A23" s="7" t="inlineStr">
        <is>
          <t>Aralik</t>
        </is>
      </c>
      <c r="B23" s="8">
        <f>B22-B21</f>
        <v>1.5959623489148083</v>
      </c>
      <c r="C23" s="8">
        <f>C22-C21</f>
        <v>0.5779989271303698</v>
      </c>
      <c r="D23" s="18">
        <f>IF(C23=0,"",B23/C23)</f>
        <v>2.761185659700771</v>
      </c>
    </row>
    <row r="24">
      <c r="A24" s="7" t="inlineStr">
        <is>
          <t>Standart sapma</t>
        </is>
      </c>
      <c r="B24" s="8">
        <f>STDEV(B5:B17)</f>
        <v>0.5810931625615067</v>
      </c>
      <c r="C24" s="8">
        <f>STDEV(C5:C17)</f>
        <v>0.18498262637691518</v>
      </c>
      <c r="D24" s="18">
        <f>IF(C24=0,"",B24/C24)</f>
        <v>3.1413391297488027</v>
      </c>
    </row>
    <row r="26">
      <c r="A26" s="3" t="inlineStr">
        <is>
          <t>Istatistik testleri (scipy ile hesaplandi)</t>
        </is>
      </c>
    </row>
    <row r="27">
      <c r="A27" s="6" t="inlineStr">
        <is>
          <t>Test</t>
        </is>
      </c>
      <c r="B27" s="6" t="inlineStr">
        <is>
          <t>Istatistik</t>
        </is>
      </c>
      <c r="C27" s="6" t="inlineStr">
        <is>
          <t>p degeri</t>
        </is>
      </c>
      <c r="D27" s="6" t="inlineStr">
        <is>
          <t>Yorum</t>
        </is>
      </c>
    </row>
    <row r="28">
      <c r="A28" s="7" t="inlineStr">
        <is>
          <t>Varyans orani (F testi)</t>
        </is>
      </c>
      <c r="B28" s="21" t="n">
        <v>9.869999999999999</v>
      </c>
      <c r="C28" s="22" t="n">
        <v>0.000372</v>
      </c>
      <c r="D28" s="7" t="inlineStr">
        <is>
          <t>OPC varyansi anlamli sekilde buyuk</t>
        </is>
      </c>
    </row>
    <row r="29">
      <c r="A29" s="7" t="inlineStr">
        <is>
          <t>Levene (Brown-Forsythe)</t>
        </is>
      </c>
      <c r="B29" s="21" t="n">
        <v>24.95</v>
      </c>
      <c r="C29" s="22" t="n">
        <v>3e-05</v>
      </c>
      <c r="D29" s="7" t="inlineStr">
        <is>
          <t>Ayni sonuc, medyan merkezli</t>
        </is>
      </c>
    </row>
    <row r="30">
      <c r="A30" s="7" t="inlineStr">
        <is>
          <t>Korteks+HPF vs arka beyin, OPC</t>
        </is>
      </c>
      <c r="B30" s="21" t="n"/>
      <c r="C30" s="22" t="n">
        <v>0.0179</v>
      </c>
      <c r="D30" s="7" t="inlineStr">
        <is>
          <t>OPC gradyani anlamli, fark +1,335 log2</t>
        </is>
      </c>
    </row>
    <row r="31">
      <c r="A31" s="7" t="inlineStr">
        <is>
          <t>Korteks+HPF vs arka beyin, Oligo</t>
        </is>
      </c>
      <c r="B31" s="21" t="n"/>
      <c r="C31" s="22" t="n">
        <v>0.1964</v>
      </c>
      <c r="D31" s="7" t="inlineStr">
        <is>
          <t>Oligodendrositte gradyan yok</t>
        </is>
      </c>
    </row>
    <row r="33">
      <c r="A33" s="3" t="inlineStr">
        <is>
          <t>Notlar</t>
        </is>
      </c>
    </row>
    <row r="34">
      <c r="A34" s="12" t="inlineStr">
        <is>
          <t>- OPC'de en yuksek bes parca korteks ve hipokampus kokenli: HPF, Isocortex-1, Isocortex-2, CTXsp, OLF.</t>
        </is>
      </c>
    </row>
    <row r="35">
      <c r="A35" s="12" t="inlineStr">
        <is>
          <t>- En dusuk uc parca arka beyin kokenli: MY (medulla), CB (serebellum), P (pons).</t>
        </is>
      </c>
    </row>
    <row r="36">
      <c r="A36" s="12" t="inlineStr">
        <is>
          <t>- Pallidum ve talamus da dusuk siralarda, ikisi de arka beyin degil. Yani duz bir rostro-kaudal gradyan degil.</t>
        </is>
      </c>
    </row>
    <row r="37">
      <c r="A37" s="12" t="inlineStr">
        <is>
          <t>- Gozlenen yayilim ornekleme gurultusunun yaklasik 12 katı, dolayisiyla kucuk orneklem artefakti degil.</t>
        </is>
      </c>
    </row>
  </sheetData>
  <mergeCells count="6">
    <mergeCell ref="A2:F2"/>
    <mergeCell ref="A36:F36"/>
    <mergeCell ref="A1:F1"/>
    <mergeCell ref="A37:F37"/>
    <mergeCell ref="A34:F34"/>
    <mergeCell ref="A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4" customWidth="1" min="3" max="3"/>
    <col width="13" customWidth="1" min="4" max="4"/>
    <col width="13" customWidth="1" min="5" max="5"/>
  </cols>
  <sheetData>
    <row r="1">
      <c r="A1" s="1" t="inlineStr">
        <is>
          <t>Bagimsiz kohortta tekrarlanabilirlik</t>
        </is>
      </c>
    </row>
    <row r="2">
      <c r="A2" s="2" t="inlineStr">
        <is>
          <t>Referans atlas ile yaslanma kohortunun ortak 7 bolgesi. Farkli fareler, farkli deney.</t>
        </is>
      </c>
    </row>
    <row r="4">
      <c r="A4" s="23" t="inlineStr">
        <is>
          <t>OPC</t>
        </is>
      </c>
    </row>
    <row r="5">
      <c r="A5" s="6" t="inlineStr">
        <is>
          <t>Bolge</t>
        </is>
      </c>
      <c r="B5" s="6" t="inlineStr">
        <is>
          <t>Referans atlas (log2)</t>
        </is>
      </c>
      <c r="C5" s="6" t="inlineStr">
        <is>
          <t>Yaslanma kohortu (log2)</t>
        </is>
      </c>
      <c r="D5" s="20" t="inlineStr">
        <is>
          <t>Fark</t>
        </is>
      </c>
    </row>
    <row r="6">
      <c r="A6" s="7" t="inlineStr">
        <is>
          <t>HPF</t>
        </is>
      </c>
      <c r="B6" s="8" t="n">
        <v>7.382030965821408</v>
      </c>
      <c r="C6" s="8" t="n">
        <v>7.4181957</v>
      </c>
      <c r="D6" s="9">
        <f>C6-B6</f>
        <v>0.036164734178592006</v>
      </c>
    </row>
    <row r="7">
      <c r="A7" s="7" t="inlineStr">
        <is>
          <t>Isocortex</t>
        </is>
      </c>
      <c r="B7" s="8" t="n">
        <v>7.334648176483336</v>
      </c>
      <c r="C7" s="8" t="n">
        <v>7.431852</v>
      </c>
      <c r="D7" s="9">
        <f>C7-B7</f>
        <v>0.09720382351666412</v>
      </c>
    </row>
    <row r="8">
      <c r="A8" s="7" t="inlineStr">
        <is>
          <t>STR</t>
        </is>
      </c>
      <c r="B8" s="8" t="n">
        <v>6.990709758841848</v>
      </c>
      <c r="C8" s="8" t="n">
        <v>7.1521654</v>
      </c>
      <c r="D8" s="9">
        <f>C8-B8</f>
        <v>0.16145564115815247</v>
      </c>
    </row>
    <row r="9">
      <c r="A9" s="7" t="inlineStr">
        <is>
          <t>HY</t>
        </is>
      </c>
      <c r="B9" s="8" t="n">
        <v>6.74788675954767</v>
      </c>
      <c r="C9" s="8" t="n">
        <v>7.0475044</v>
      </c>
      <c r="D9" s="9">
        <f>C9-B9</f>
        <v>0.29961764045232986</v>
      </c>
    </row>
    <row r="10">
      <c r="A10" s="7" t="inlineStr">
        <is>
          <t>MB</t>
        </is>
      </c>
      <c r="B10" s="8" t="n">
        <v>6.415280829782344</v>
      </c>
      <c r="C10" s="8" t="n">
        <v>6.5772257</v>
      </c>
      <c r="D10" s="9">
        <f>C10-B10</f>
        <v>0.16194487021765536</v>
      </c>
    </row>
    <row r="11">
      <c r="A11" s="7" t="inlineStr">
        <is>
          <t>PAL</t>
        </is>
      </c>
      <c r="B11" s="8" t="n">
        <v>6.259326344696382</v>
      </c>
      <c r="C11" s="8" t="n">
        <v>6.498734</v>
      </c>
      <c r="D11" s="9">
        <f>C11-B11</f>
        <v>0.23940765530361752</v>
      </c>
    </row>
    <row r="12">
      <c r="A12" s="7" t="inlineStr">
        <is>
          <t>P</t>
        </is>
      </c>
      <c r="B12" s="8" t="n">
        <v>6.197136568039017</v>
      </c>
      <c r="C12" s="8" t="n">
        <v>6.0950522</v>
      </c>
      <c r="D12" s="9">
        <f>C12-B12</f>
        <v>-0.10208436803901755</v>
      </c>
    </row>
    <row r="13">
      <c r="A13" s="3" t="inlineStr">
        <is>
          <t>Spearman rho</t>
        </is>
      </c>
      <c r="B13" s="24" t="n">
        <v>0.964</v>
      </c>
      <c r="C13" s="25" t="inlineStr">
        <is>
          <t>p = 0.0005</t>
        </is>
      </c>
    </row>
    <row r="16">
      <c r="A16" s="23" t="inlineStr">
        <is>
          <t>Olgun oligodendrosit</t>
        </is>
      </c>
    </row>
    <row r="17">
      <c r="A17" s="6" t="inlineStr">
        <is>
          <t>Bolge</t>
        </is>
      </c>
      <c r="B17" s="6" t="inlineStr">
        <is>
          <t>Referans atlas (log2)</t>
        </is>
      </c>
      <c r="C17" s="6" t="inlineStr">
        <is>
          <t>Yaslanma kohortu (log2)</t>
        </is>
      </c>
      <c r="D17" s="20" t="inlineStr">
        <is>
          <t>Fark</t>
        </is>
      </c>
    </row>
    <row r="18">
      <c r="A18" s="7" t="inlineStr">
        <is>
          <t>HY</t>
        </is>
      </c>
      <c r="B18" s="8" t="n">
        <v>7.946407543903154</v>
      </c>
      <c r="C18" s="8" t="n">
        <v>8.044663999999999</v>
      </c>
      <c r="D18" s="9">
        <f>C18-B18</f>
        <v>0.09825645609684486</v>
      </c>
    </row>
    <row r="19">
      <c r="A19" s="7" t="inlineStr">
        <is>
          <t>MB</t>
        </is>
      </c>
      <c r="B19" s="8" t="n">
        <v>7.924866840402514</v>
      </c>
      <c r="C19" s="8" t="n">
        <v>8.139359000000001</v>
      </c>
      <c r="D19" s="9">
        <f>C19-B19</f>
        <v>0.21449215959748624</v>
      </c>
    </row>
    <row r="20">
      <c r="A20" s="7" t="inlineStr">
        <is>
          <t>HPF</t>
        </is>
      </c>
      <c r="B20" s="8" t="n">
        <v>7.893821003975312</v>
      </c>
      <c r="C20" s="8" t="n">
        <v>7.948546</v>
      </c>
      <c r="D20" s="9">
        <f>C20-B20</f>
        <v>0.05472499602468872</v>
      </c>
    </row>
    <row r="21">
      <c r="A21" s="7" t="inlineStr">
        <is>
          <t>Isocortex</t>
        </is>
      </c>
      <c r="B21" s="8" t="n">
        <v>7.887883541151983</v>
      </c>
      <c r="C21" s="8" t="n">
        <v>8.007250000000001</v>
      </c>
      <c r="D21" s="9">
        <f>C21-B21</f>
        <v>0.11936645884801766</v>
      </c>
    </row>
    <row r="22">
      <c r="A22" s="7" t="inlineStr">
        <is>
          <t>STR</t>
        </is>
      </c>
      <c r="B22" s="8" t="n">
        <v>7.621401727281114</v>
      </c>
      <c r="C22" s="8" t="n">
        <v>7.8678527</v>
      </c>
      <c r="D22" s="9">
        <f>C22-B22</f>
        <v>0.24645097271888616</v>
      </c>
    </row>
    <row r="23">
      <c r="A23" s="7" t="inlineStr">
        <is>
          <t>P</t>
        </is>
      </c>
      <c r="B23" s="8" t="n">
        <v>7.540377059235904</v>
      </c>
      <c r="C23" s="8" t="n">
        <v>7.9330397</v>
      </c>
      <c r="D23" s="9">
        <f>C23-B23</f>
        <v>0.3926626407640965</v>
      </c>
    </row>
    <row r="24">
      <c r="A24" s="7" t="inlineStr">
        <is>
          <t>PAL</t>
        </is>
      </c>
      <c r="B24" s="8" t="n">
        <v>7.368485617585351</v>
      </c>
      <c r="C24" s="8" t="n">
        <v>7.7508726</v>
      </c>
      <c r="D24" s="9">
        <f>C24-B24</f>
        <v>0.3823869824146495</v>
      </c>
    </row>
    <row r="25">
      <c r="A25" s="3" t="inlineStr">
        <is>
          <t>Spearman rho</t>
        </is>
      </c>
      <c r="B25" s="24" t="n">
        <v>0.893</v>
      </c>
      <c r="C25" s="25" t="inlineStr">
        <is>
          <t>p = 0.0068</t>
        </is>
      </c>
    </row>
    <row r="28">
      <c r="A28" s="3" t="inlineStr">
        <is>
          <t>Notlar</t>
        </is>
      </c>
    </row>
    <row r="29">
      <c r="A29" s="12" t="inlineStr">
        <is>
          <t>- Iki veri seti farkli hayvanlardan ve farkli deneylerden geliyor. Bolgesel siralamanin ikisinde de ayni cikmasi, oruntununu tek bir deneyin toplu isleme artefakti olmadigini gosteriyor.</t>
        </is>
      </c>
    </row>
    <row r="30">
      <c r="A30" s="12" t="inlineStr">
        <is>
          <t>- Yaslanma kohortu sadece 7 bolgeyi kapsadigi icin karsilastirma bu bolgelerle sinirli.</t>
        </is>
      </c>
    </row>
    <row r="31">
      <c r="A31" s="12" t="inlineStr">
        <is>
          <t>- Izokorteks referans atlasta iki parcaya bolunmus. Karsilastirma icin hucre sayisiyla agirliklandirilip tek bolgede birlestirildi.</t>
        </is>
      </c>
    </row>
    <row r="32">
      <c r="A32" s="12" t="inlineStr">
        <is>
          <t>- Spearman rho scipy ile hesaplandi ve deger olarak yazildi.</t>
        </is>
      </c>
    </row>
  </sheetData>
  <mergeCells count="6">
    <mergeCell ref="A30:E30"/>
    <mergeCell ref="A29:E29"/>
    <mergeCell ref="A2:E2"/>
    <mergeCell ref="A1:E1"/>
    <mergeCell ref="A32:E32"/>
    <mergeCell ref="A31:E3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20" customWidth="1" min="4" max="4"/>
    <col width="13" customWidth="1" min="5" max="5"/>
    <col width="20" customWidth="1" min="6" max="6"/>
    <col width="14" customWidth="1" min="7" max="7"/>
    <col width="15" customWidth="1" min="8" max="8"/>
    <col width="13" customWidth="1" min="9" max="9"/>
  </cols>
  <sheetData>
    <row r="1">
      <c r="A1" s="1" t="inlineStr">
        <is>
          <t>Tespit orani mi, ifade seviyesi mi?</t>
        </is>
      </c>
    </row>
    <row r="2">
      <c r="A2" s="2" t="inlineStr">
        <is>
          <t>Siralamadaki buyuk farkin ne kadari geni kac hucrenin gosterdiginden, ne kadari seviyeden geliyor.</t>
        </is>
      </c>
    </row>
    <row r="4">
      <c r="A4" s="6" t="inlineStr">
        <is>
          <t>Alt sinif</t>
        </is>
      </c>
      <c r="B4" s="6" t="inlineStr">
        <is>
          <t>Genel sira</t>
        </is>
      </c>
      <c r="C4" s="6" t="inlineStr">
        <is>
          <t>Hucre</t>
        </is>
      </c>
      <c r="D4" s="6" t="inlineStr">
        <is>
          <t>Ortalama (log2, sifirlar dahil)</t>
        </is>
      </c>
      <c r="E4" s="6" t="inlineStr">
        <is>
          <t>Tespit orani</t>
        </is>
      </c>
      <c r="F4" s="6" t="inlineStr">
        <is>
          <t>Tespit edilende seviye (CPM)</t>
        </is>
      </c>
      <c r="G4" s="6" t="inlineStr">
        <is>
          <t>YANILTICI kat</t>
        </is>
      </c>
      <c r="H4" s="6" t="inlineStr">
        <is>
          <t>Tespit orani kati</t>
        </is>
      </c>
      <c r="I4" s="6" t="inlineStr">
        <is>
          <t>Seviye kati</t>
        </is>
      </c>
    </row>
    <row r="5">
      <c r="A5" s="7" t="inlineStr">
        <is>
          <t>327 Oligo NN</t>
        </is>
      </c>
      <c r="B5" s="7" t="n">
        <v>1</v>
      </c>
      <c r="C5" s="13" t="n">
        <v>371211</v>
      </c>
      <c r="D5" s="8" t="n">
        <v>7.765019914220215</v>
      </c>
      <c r="E5" s="14" t="n">
        <v>0.9250264674268812</v>
      </c>
      <c r="F5" s="13" t="n">
        <v>335.4797636443221</v>
      </c>
      <c r="G5" s="26" t="n">
        <v>1</v>
      </c>
      <c r="H5" s="27" t="n">
        <v>1</v>
      </c>
      <c r="I5" s="27" t="n">
        <v>1</v>
      </c>
    </row>
    <row r="6">
      <c r="A6" s="7" t="inlineStr">
        <is>
          <t>326 OPC NN</t>
        </is>
      </c>
      <c r="B6" s="7" t="n">
        <v>2</v>
      </c>
      <c r="C6" s="13" t="n">
        <v>106459</v>
      </c>
      <c r="D6" s="8" t="n">
        <v>6.764457360101072</v>
      </c>
      <c r="E6" s="14" t="n">
        <v>0.850797020449187</v>
      </c>
      <c r="F6" s="13" t="n">
        <v>246.4048478492157</v>
      </c>
      <c r="G6" s="26" t="n">
        <v>2.000780017670547</v>
      </c>
      <c r="H6" s="27" t="n">
        <v>1.087246952203129</v>
      </c>
      <c r="I6" s="27" t="n">
        <v>1.361498227703761</v>
      </c>
    </row>
    <row r="7">
      <c r="A7" s="7" t="inlineStr">
        <is>
          <t>332 SMC NN</t>
        </is>
      </c>
      <c r="B7" s="7" t="n">
        <v>121</v>
      </c>
      <c r="C7" s="13" t="n">
        <v>13705</v>
      </c>
      <c r="D7" s="8" t="n">
        <v>4.424467163531558</v>
      </c>
      <c r="E7" s="14" t="n">
        <v>0.569500182415177</v>
      </c>
      <c r="F7" s="13" t="n">
        <v>217.1286634284079</v>
      </c>
      <c r="G7" s="26" t="n">
        <v>10.12993316644151</v>
      </c>
      <c r="H7" s="27" t="n">
        <v>1.624277736846304</v>
      </c>
      <c r="I7" s="27" t="n">
        <v>1.545073590686644</v>
      </c>
    </row>
    <row r="8">
      <c r="A8" s="7" t="inlineStr">
        <is>
          <t>335 BAM NN</t>
        </is>
      </c>
      <c r="B8" s="7" t="n">
        <v>155</v>
      </c>
      <c r="C8" s="13" t="n">
        <v>5516</v>
      </c>
      <c r="D8" s="8" t="n">
        <v>4.139340412146483</v>
      </c>
      <c r="E8" s="14" t="n">
        <v>0.5398839738941261</v>
      </c>
      <c r="F8" s="13" t="n">
        <v>202.2473290800229</v>
      </c>
      <c r="G8" s="26" t="n">
        <v>12.34349895999417</v>
      </c>
      <c r="H8" s="27" t="n">
        <v>1.713380118981423</v>
      </c>
      <c r="I8" s="27" t="n">
        <v>1.658759921183351</v>
      </c>
    </row>
    <row r="9">
      <c r="A9" s="7" t="inlineStr">
        <is>
          <t>318 Astro-NT NN</t>
        </is>
      </c>
      <c r="B9" s="7" t="n">
        <v>160</v>
      </c>
      <c r="C9" s="13" t="n">
        <v>139030</v>
      </c>
      <c r="D9" s="8" t="n">
        <v>4.086697386960369</v>
      </c>
      <c r="E9" s="14" t="n">
        <v>0.5374955045673596</v>
      </c>
      <c r="F9" s="13" t="n">
        <v>193.4454302475901</v>
      </c>
      <c r="G9" s="26" t="n">
        <v>12.80222378399456</v>
      </c>
      <c r="H9" s="27" t="n">
        <v>1.720993867979329</v>
      </c>
      <c r="I9" s="27" t="n">
        <v>1.734234627382734</v>
      </c>
    </row>
    <row r="10">
      <c r="A10" s="7" t="inlineStr">
        <is>
          <t>334 Microglia NN</t>
        </is>
      </c>
      <c r="B10" s="7" t="n">
        <v>168</v>
      </c>
      <c r="C10" s="13" t="n">
        <v>81472</v>
      </c>
      <c r="D10" s="8" t="n">
        <v>3.879017706744648</v>
      </c>
      <c r="E10" s="14" t="n">
        <v>0.4917272191673212</v>
      </c>
      <c r="F10" s="13" t="n">
        <v>235.9692420590459</v>
      </c>
      <c r="G10" s="26" t="n">
        <v>14.78438378079829</v>
      </c>
      <c r="H10" s="27" t="n">
        <v>1.88117808282669</v>
      </c>
      <c r="I10" s="27" t="n">
        <v>1.421709714015931</v>
      </c>
    </row>
    <row r="11">
      <c r="A11" s="7" t="inlineStr">
        <is>
          <t>333 Endo NN</t>
        </is>
      </c>
      <c r="B11" s="7" t="n">
        <v>176</v>
      </c>
      <c r="C11" s="13" t="n">
        <v>84356</v>
      </c>
      <c r="D11" s="8" t="n">
        <v>3.790201947700223</v>
      </c>
      <c r="E11" s="14" t="n">
        <v>0.4937763763099246</v>
      </c>
      <c r="F11" s="13" t="n">
        <v>203.4987653894541</v>
      </c>
      <c r="G11" s="26" t="n">
        <v>15.72314556804754</v>
      </c>
      <c r="H11" s="27" t="n">
        <v>1.873371250240366</v>
      </c>
      <c r="I11" s="27" t="n">
        <v>1.648559208712073</v>
      </c>
    </row>
    <row r="12">
      <c r="A12" s="7" t="inlineStr">
        <is>
          <t>319 Astro-TE NN</t>
        </is>
      </c>
      <c r="B12" s="7" t="n">
        <v>178</v>
      </c>
      <c r="C12" s="13" t="n">
        <v>144668</v>
      </c>
      <c r="D12" s="8" t="n">
        <v>3.772723433937706</v>
      </c>
      <c r="E12" s="14" t="n">
        <v>0.5096496806481047</v>
      </c>
      <c r="F12" s="13" t="n">
        <v>168.1995320023066</v>
      </c>
      <c r="G12" s="26" t="n">
        <v>15.9147929238524</v>
      </c>
      <c r="H12" s="27" t="n">
        <v>1.815024128437706</v>
      </c>
      <c r="I12" s="27" t="n">
        <v>1.994534465409342</v>
      </c>
    </row>
    <row r="13">
      <c r="A13" s="7" t="inlineStr">
        <is>
          <t>316 Bergmann NN</t>
        </is>
      </c>
      <c r="B13" s="7" t="n">
        <v>190</v>
      </c>
      <c r="C13" s="13" t="n">
        <v>3321</v>
      </c>
      <c r="D13" s="8" t="n">
        <v>3.606476154080097</v>
      </c>
      <c r="E13" s="14" t="n">
        <v>0.5323697681421259</v>
      </c>
      <c r="F13" s="13" t="n">
        <v>108.4692575159436</v>
      </c>
      <c r="G13" s="26" t="n">
        <v>17.85855888344941</v>
      </c>
      <c r="H13" s="27" t="n">
        <v>1.73756385651848</v>
      </c>
      <c r="I13" s="27" t="n">
        <v>3.09285572084801</v>
      </c>
    </row>
    <row r="14">
      <c r="A14" s="7" t="inlineStr">
        <is>
          <t>330 VLMC NN</t>
        </is>
      </c>
      <c r="B14" s="7" t="n">
        <v>205</v>
      </c>
      <c r="C14" s="13" t="n">
        <v>8544</v>
      </c>
      <c r="D14" s="8" t="n">
        <v>3.433970357876873</v>
      </c>
      <c r="E14" s="14" t="n">
        <v>0.4590355805243445</v>
      </c>
      <c r="F14" s="13" t="n">
        <v>177.6307951743404</v>
      </c>
      <c r="G14" s="26" t="n">
        <v>20.12685089160359</v>
      </c>
      <c r="H14" s="27" t="n">
        <v>2.015151998392472</v>
      </c>
      <c r="I14" s="27" t="n">
        <v>1.888635150876044</v>
      </c>
    </row>
    <row r="15">
      <c r="A15" s="7" t="inlineStr">
        <is>
          <t>331 Peri NN</t>
        </is>
      </c>
      <c r="B15" s="7" t="n">
        <v>240</v>
      </c>
      <c r="C15" s="13" t="n">
        <v>23170</v>
      </c>
      <c r="D15" s="8" t="n">
        <v>2.85009551456625</v>
      </c>
      <c r="E15" s="14" t="n">
        <v>0.3519205869659041</v>
      </c>
      <c r="F15" s="13" t="n">
        <v>273.1248607492214</v>
      </c>
      <c r="G15" s="26" t="n">
        <v>30.1675242643276</v>
      </c>
      <c r="H15" s="27" t="n">
        <v>2.628509105994707</v>
      </c>
      <c r="I15" s="27" t="n">
        <v>1.228301820361765</v>
      </c>
    </row>
    <row r="17">
      <c r="A17" s="3" t="inlineStr">
        <is>
          <t>Notlar</t>
        </is>
      </c>
    </row>
    <row r="18">
      <c r="A18" s="12" t="inlineStr">
        <is>
          <t>- Kesin ozdeslik: ortalama(tum hucreler) = tespit orani x ortalama(tespit edilen hucreler). Tespit edilmeyen hucre log2 olceginde tam olarak 0 katkı verir.</t>
        </is>
      </c>
    </row>
    <row r="19">
      <c r="A19" s="12" t="inlineStr">
        <is>
          <t>- Bu yuzden iki ortalamanin farkindan 2 ussu alarak kat degisim hesaplanamaz. Logaritmanin ortalamasi, ortalamanin logaritmasi degildir.</t>
        </is>
      </c>
    </row>
    <row r="20">
      <c r="A20" s="12" t="inlineStr">
        <is>
          <t>- YANILTICI kat sutunu kirmizi: bu sutun yanlis yorumun ne kadar sismis oldugunu gostermek icin duruyor, kullanilmamali.</t>
        </is>
      </c>
    </row>
    <row r="21">
      <c r="A21" s="12" t="inlineStr">
        <is>
          <t>- Oligodendrosit ile telensefalik astrosit arasindaki gercek fark: tespit oraninda 1,82 kat, tespit edilen hucrelerdeki seviyede 1,99 kat.</t>
        </is>
      </c>
    </row>
    <row r="22">
      <c r="A22" s="12" t="inlineStr">
        <is>
          <t>- Perisit uyarisi: genel siralamada 240. sirada ama tespit edilen perisitlerde seviye 273 CPM, astrositin 168 CPM degerinin uzerinde. Perisitler az RNA tasir, dolayisiyla dusuk sirasi buyuk olasilikla teknik.</t>
        </is>
      </c>
    </row>
    <row r="23">
      <c r="A23" s="12" t="inlineStr">
        <is>
          <t>- 10x verisinde tespit orani hucrenin RNA icerigini takip eder. Bu bilinen bir teknik karistirici ve bu analizde duzeltilmedi.</t>
        </is>
      </c>
    </row>
  </sheetData>
  <mergeCells count="8">
    <mergeCell ref="A19:I19"/>
    <mergeCell ref="A22:I22"/>
    <mergeCell ref="A2:H2"/>
    <mergeCell ref="A23:I23"/>
    <mergeCell ref="A18:I18"/>
    <mergeCell ref="A1:H1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2026-09-11T08:16:05Z</dcterms:created>
  <dcterms:modified xmlns:dcterms="http://purl.org/dc/terms/" xmlns:xsi="http://www.w3.org/2001/XMLSchema-instance" xsi:type="dcterms:W3CDTF">2026-09-11T08:16:05Z</dcterms:modified>
</cp:coreProperties>
</file>